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rohitgajaraj/Library/Mobile Documents/com~apple~CloudDocs/Supaprod/Funding/"/>
    </mc:Choice>
  </mc:AlternateContent>
  <xr:revisionPtr revIDLastSave="0" documentId="13_ncr:1_{57746E7F-23D5-5F4D-A02C-39E9DC14CFB4}" xr6:coauthVersionLast="47" xr6:coauthVersionMax="47" xr10:uidLastSave="{00000000-0000-0000-0000-000000000000}"/>
  <bookViews>
    <workbookView xWindow="0" yWindow="0" windowWidth="28800" windowHeight="18000" activeTab="2" xr2:uid="{FFEF09BC-4F40-9647-857A-87EF0795EF70}"/>
  </bookViews>
  <sheets>
    <sheet name="Dashboard" sheetId="3" r:id="rId1"/>
    <sheet name="This month" sheetId="2" r:id="rId2"/>
    <sheet name="all-programmes-ranked"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a="1"/>
  <c r="A46" i="3" a="1"/>
  <c r="A26" i="3" a="1"/>
  <c r="A113" i="3" a="1"/>
  <c r="H14" i="3" a="1"/>
  <c r="I14" i="3" s="1" a="1"/>
  <c r="F18" i="3" a="1"/>
  <c r="F17" i="3" a="1"/>
  <c r="F16" i="3"/>
  <c r="F15" i="3"/>
  <c r="F14" i="3"/>
  <c r="B20" i="3"/>
  <c r="B19" i="3"/>
  <c r="B18" i="3"/>
  <c r="B17" i="3"/>
  <c r="B16" i="3"/>
  <c r="B15" i="3"/>
  <c r="B14" i="3"/>
  <c r="I9" i="3"/>
  <c r="I8" i="3"/>
  <c r="I7" i="3"/>
  <c r="I6" i="3"/>
  <c r="I5" i="3"/>
  <c r="F8" i="3"/>
  <c r="F7" i="3"/>
  <c r="F6" i="3"/>
  <c r="F5" i="3"/>
  <c r="B10" i="3"/>
  <c r="B9" i="3"/>
  <c r="B8" i="3"/>
  <c r="B7" i="3"/>
  <c r="B6" i="3"/>
  <c r="B5" i="3"/>
  <c r="A2" i="3"/>
  <c r="B11" i="3" l="1"/>
  <c r="C5" i="3" s="1"/>
  <c r="C6" i="3" l="1"/>
  <c r="C7" i="3"/>
  <c r="C10" i="3"/>
  <c r="C8" i="3"/>
  <c r="C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Rohit Gajaraj</author>
  </authors>
  <commentList>
    <comment ref="J160" authorId="0" shapeId="0" xr:uid="{C9E3B27B-DAE2-9648-8722-C78233881F36}">
      <text>
        <r>
          <rPr>
            <b/>
            <sz val="10"/>
            <color rgb="FF000000"/>
            <rFont val="Tahoma"/>
            <family val="2"/>
          </rPr>
          <t>Rohit Gajaraj:</t>
        </r>
        <r>
          <rPr>
            <sz val="10"/>
            <color rgb="FF000000"/>
            <rFont val="Tahoma"/>
            <family val="2"/>
          </rPr>
          <t xml:space="preserve">
Displayed as $500 — plausibly correct (Stripe Atlas credits are small-dollar), left as-is.</t>
        </r>
      </text>
    </comment>
    <comment ref="J218" authorId="0" shapeId="0" xr:uid="{8367D0D3-CE39-7945-8E6B-0FC13843398A}">
      <text>
        <r>
          <rPr>
            <b/>
            <sz val="10"/>
            <color rgb="FF000000"/>
            <rFont val="Tahoma"/>
            <family val="2"/>
          </rPr>
          <t>Rohit Gajaraj:</t>
        </r>
        <r>
          <rPr>
            <sz val="10"/>
            <color rgb="FF000000"/>
            <rFont val="Tahoma"/>
            <family val="2"/>
          </rPr>
          <t xml:space="preserve">
SUSPECTED UNIT ERROR in source data: value is 1. Likely means $1M or 1 crore. Verify against the programme page before prioritising.</t>
        </r>
      </text>
    </comment>
    <comment ref="J293" authorId="0" shapeId="0" xr:uid="{C0011D40-092D-0744-9683-1EDF54C17F22}">
      <text>
        <r>
          <rPr>
            <b/>
            <sz val="10"/>
            <color rgb="FF000000"/>
            <rFont val="Tahoma"/>
            <family val="2"/>
          </rPr>
          <t>Rohit Gajaraj:</t>
        </r>
        <r>
          <rPr>
            <sz val="10"/>
            <color rgb="FF000000"/>
            <rFont val="Tahoma"/>
            <family val="2"/>
          </rPr>
          <t xml:space="preserve">
SUSPECTED UNIT ERROR in source data: value is 2. The duplicate row 'Workers Launchpad' carries 2,000,000, so this likely means $2M. Verify before prioritising.</t>
        </r>
      </text>
    </comment>
    <comment ref="J554" authorId="0" shapeId="0" xr:uid="{0CF6B8E0-B022-AD4E-9D57-5488DF22ED86}">
      <text>
        <r>
          <rPr>
            <b/>
            <sz val="10"/>
            <color rgb="FF000000"/>
            <rFont val="Tahoma"/>
            <family val="2"/>
          </rPr>
          <t>Rohit Gajaraj:</t>
        </r>
        <r>
          <rPr>
            <sz val="10"/>
            <color rgb="FF000000"/>
            <rFont val="Tahoma"/>
            <family val="2"/>
          </rPr>
          <t xml:space="preserve">
SUSPECTED UNIT ERROR in source data: value is 10. Likely means $10M. Verify against the programme page before prioritising.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<sst xmlns="http://schemas.openxmlformats.org/spreadsheetml/2006/main" count="8043" uniqueCount="3361">
  <si>
    <t>Score</t>
  </si>
  <si>
    <t>Tier</t>
  </si>
  <si>
    <t>Call</t>
  </si>
  <si>
    <t>Programme</t>
  </si>
  <si>
    <t>Region</t>
  </si>
  <si>
    <t>Category</t>
  </si>
  <si>
    <t>Page state</t>
  </si>
  <si>
    <t>Deadline</t>
  </si>
  <si>
    <t>Days left</t>
  </si>
  <si>
    <t>Cash USD</t>
  </si>
  <si>
    <t>Terms</t>
  </si>
  <si>
    <t>Solo stance</t>
  </si>
  <si>
    <t>Entity to apply</t>
  </si>
  <si>
    <t>Effort</t>
  </si>
  <si>
    <t>Location need</t>
  </si>
  <si>
    <t>Hard blocker</t>
  </si>
  <si>
    <t>Apply URL</t>
  </si>
  <si>
    <t>Why this call</t>
  </si>
  <si>
    <t>Tier 1</t>
  </si>
  <si>
    <t>apply-now</t>
  </si>
  <si>
    <t>Supernova 0X Pitch Competition at Expand North Star</t>
  </si>
  <si>
    <t>United Arab Emirates (Dubai), open globally</t>
  </si>
  <si>
    <t>grant</t>
  </si>
  <si>
    <t>OPEN</t>
  </si>
  <si>
    <t>Equity-free cash prize pool</t>
  </si>
  <si>
    <t>No team-size rule stated</t>
  </si>
  <si>
    <t>2-4 hours estimated, plus supporting documentation of funding stage</t>
  </si>
  <si>
    <t>Semi-finals and award ceremony in Dubai, 8-10 December 2026</t>
  </si>
  <si>
    <t>null</t>
  </si>
  <si>
    <t>https://expandnorthstar.com/supernova-0X</t>
  </si>
  <si>
    <t>High expected value and the odds are real.</t>
  </si>
  <si>
    <t>Entrepreneur First - Bangalore Program</t>
  </si>
  <si>
    <t>India (Bengaluru), then San Francisco</t>
  </si>
  <si>
    <t>accelerator</t>
  </si>
  <si>
    <t>Equity taken. US terms published as ~8% for the first tranche. Bangalore terms follow analogous structures with location-specific entities and are NOT published - must confirm.</t>
  </si>
  <si>
    <t>Explicitly solo-first. "No you do not need a cofounder to apply. Our program brings together exceptional individuals to find a cofounder and build a startup from scratch. We assess all applicants as individuals."</t>
  </si>
  <si>
    <t>~3-5 hours plus three interview rounds. Apply to only ONE programme in ONE hub city at a time - this is an explicit EF rule.</t>
  </si>
  <si>
    <t>Full-time, in-person in Bangalore for FORM, then SF for LAUNCH. Founder is already in Bangalore - no relocation needed for phase one.</t>
  </si>
  <si>
    <t>none</t>
  </si>
  <si>
    <t>https://apply.joinef.com/</t>
  </si>
  <si>
    <t>Hub71 Cohort 20</t>
  </si>
  <si>
    <t>United Arab Emirates (Abu Dhabi)</t>
  </si>
  <si>
    <t>incubator</t>
  </si>
  <si>
    <t>NOT fully non-dilutive - the cash leg converts via a SAFE at the next priced round. The in-kind half is non-dilutive.</t>
  </si>
  <si>
    <t>Not stated on the page</t>
  </si>
  <si>
    <t>Moderate - programme-specific application forms; Hub71+ AI is the relevant track</t>
  </si>
  <si>
    <t>At least one founder must relocate to Abu Dhabi long-term - a real, ongoing condition, not a visit</t>
  </si>
  <si>
    <t>https://www.hub71.com/i-am-a-startup#programsSection</t>
  </si>
  <si>
    <t>Closes in 7 days on an open form. Forms are editable; file and refine.</t>
  </si>
  <si>
    <t>Techstars Accelerators (general application)</t>
  </si>
  <si>
    <t>Multiple US cities plus Techstars Anywhere (remote-first)</t>
  </si>
  <si>
    <t>Techstars' standard is 6% common plus a note; not restated in the portal</t>
  </si>
  <si>
    <t>No published 2+ rule on the main accelerators. Techstars Founder Catalyst is explicitly "open to both solo founders and founding teams", indicating the organisation has no blanket solo bar.</t>
  </si>
  <si>
    <t>1 hour, confirmed by the portal itself: "Completing this application should take you 30-60 minutes. We encourage you to complete this with any co-founders." No video or references advertised. Response timing: "you may hear back from us immediately, but typically within 60-90 days of applying, or 4 weeks after applications close."</t>
  </si>
  <si>
    <t>Varies by programme; Techstars Anywhere is remote-first and NYC is hybrid with in-person sessions at start, midpoint and demo day</t>
  </si>
  <si>
    <t>https://apply.techstars.com/</t>
  </si>
  <si>
    <t>Workers Launchpad</t>
  </si>
  <si>
    <t>Global / remote (Cloudflare-run, US HQ)</t>
  </si>
  <si>
    <t>Non-dilutive - Cloudflare takes no equity</t>
  </si>
  <si>
    <t>Not stated</t>
  </si>
  <si>
    <t>Low - a single form</t>
  </si>
  <si>
    <t>Virtual; virtual demo day</t>
  </si>
  <si>
    <t>https://www.cloudflare.com/startups/workers-launchpad/</t>
  </si>
  <si>
    <t>CF Accelerator Batch #9</t>
  </si>
  <si>
    <t>Europe ‚Äî Heilbronn, Germany</t>
  </si>
  <si>
    <t>'Cost and equity-free' ‚Äî no equity taken, no participation fee</t>
  </si>
  <si>
    <t>Prefers teams but does not bar solo: 'if you have a special talent and are convinced that you have what it takes...we are willing to make an exception'</t>
  </si>
  <si>
    <t>~2-3 hours</t>
  </si>
  <si>
    <t>Physical attendance highly preferred during the programme; Heilbronn, Germany</t>
  </si>
  <si>
    <t>https://campusfounders.acceleratorapp.co/apply/program/cf-accelerator-batch-9</t>
  </si>
  <si>
    <t>Closes in 2 days on an open form. Forms are editable; file and refine.</t>
  </si>
  <si>
    <t>AIR (AI Residency)</t>
  </si>
  <si>
    <t>Global - location agnostic; annual summit in New York City, events in NY, SF, LA, London, Paris</t>
  </si>
  <si>
    <t>residency</t>
  </si>
  <si>
    <t>"$50-500K investment, uncapped, no-discount MFN SAFE, or at the same price as a round within the last 60 days." Uncapped MFN means no valuation is set at entry.</t>
  </si>
  <si>
    <t>Explicitly welcomes solo. "We welcome solo founders with strong product instincts and a clear point of view. You can apply solo or with your co-founders."</t>
  </si>
  <si>
    <t>~1-2 hours via Google Form. Warm intros encouraged but not required.</t>
  </si>
  <si>
    <t>None. "You can be based anywhere. AIR is a global residency with an annual AI &amp; Culture summit in NYC."</t>
  </si>
  <si>
    <t>https://docs.google.com/forms/d/e/1FAIpQLSc9037xpuD4bJ4NNbEtjaC-bJMkW24tb-d7ii4j9et0gQ2-2Q/viewform</t>
  </si>
  <si>
    <t>Solo Founders Program (SFP) - Fall 2026</t>
  </si>
  <si>
    <t>US (San Francisco)</t>
  </si>
  <si>
    <t>$100K for 2.5% equity (uncapped MFN SAFE structure). Verified on the programme page 2026-08-14.</t>
  </si>
  <si>
    <t>Purpose-built for solo founders - this is the entire thesis. "If you're already solo, you're early."</t>
  </si>
  <si>
    <t>~2-3 hours plus interview. Rolling review.</t>
  </si>
  <si>
    <t>Fully in-person in SF for the full three months. "No remote option." Optional housing upstairs. Cannot sponsor visas but explicitly works with founders on visa types: "We've successfully helped many founders who were told by others that their visa situation was hopeless."</t>
  </si>
  <si>
    <t>https://solofounders.com/program</t>
  </si>
  <si>
    <t>Closes in 18 days on an open form. Forms are editable; file and refine.</t>
  </si>
  <si>
    <t>Forum Ventures Accelerator</t>
  </si>
  <si>
    <t>Toronto / New York City / San Francisco - remote participation accepted</t>
  </si>
  <si>
    <t>$100k USD for 7.5% equity on a standard post-money SAFE</t>
  </si>
  <si>
    <t>Short pitch form followed by a call. Budget 1-2h.</t>
  </si>
  <si>
    <t>None. Page states: 'While we have office space available in our three locations ‚Äì Toronto, New York City, and San Francisco ‚Äì we are happy to work with founders remotely, wherever they may reside.'</t>
  </si>
  <si>
    <t>none identified</t>
  </si>
  <si>
    <t>https://www.forumvc.com/pitch-us</t>
  </si>
  <si>
    <t>Flagship Accelerator</t>
  </si>
  <si>
    <t>Estonia (Tallinn) + a second European hub; 80% online</t>
  </si>
  <si>
    <t>Convertible note; programme cost of ‚Ç¨35,000 is netted against the ‚Ç¨100,000 investment. Historically ~8% for ‚Ç¨50K.</t>
  </si>
  <si>
    <t>Published requirement of 'at least 2 co-founders/team members'. This is a stated criterion, not a submission gate ‚Äî the Dealum form will accept a solo submission.</t>
  </si>
  <si>
    <t>Dealum form, ~2-3 hours. No video confirmed on the form page.</t>
  </si>
  <si>
    <t>Hybrid: 80% online, 20% in person in Tallinn and one other European hub. No geographic restriction on applicants; timezone accommodation required.</t>
  </si>
  <si>
    <t>https://app.dealum.com/#/company/application/new/65419/332vcs6q9qdc90pb7orc07m0qxnyuk7m</t>
  </si>
  <si>
    <t>verify-first</t>
  </si>
  <si>
    <t>Coefficient Giving (formerly Open Philanthropy) - open RFP portfolio</t>
  </si>
  <si>
    <t>Global</t>
  </si>
  <si>
    <t>UNKNOWN</t>
  </si>
  <si>
    <t>Non-dilutive grant</t>
  </si>
  <si>
    <t>Technical AI Safety RFP eligibility reported as including "independent researchers" - individuals fundable</t>
  </si>
  <si>
    <t>The Technical AI Safety RFP begins with a 300-word expression of interest - very low cost to enter</t>
  </si>
  <si>
    <t>Worldwide</t>
  </si>
  <si>
    <t>https://coefficientgiving.org/apply-for-funding/</t>
  </si>
  <si>
    <t>Page state could not be read. Open it before spending drafting hours.</t>
  </si>
  <si>
    <t>Start it @KBC ‚Äî Fall 2026</t>
  </si>
  <si>
    <t>Belgium (Antwerp, Brussels, Ghent, Hasselt, Leuven, Kortrijk)</t>
  </si>
  <si>
    <t>'FREE' and '100% no strings attached' ‚Äî 'we don't ask for shares, money or special privileges.' Equity only if the separate Start it Fund invests.</t>
  </si>
  <si>
    <t>No team-size requirement published. The page states they seek 'enthusiastic &amp; open-minded founders of all backgrounds, genders, ages and nationalities.'</t>
  </si>
  <si>
    <t>AcceleratorApp form, est. 3-5 hours.</t>
  </si>
  <si>
    <t>Belgium hubs plus Budapest and a New York presence. 24h/month commitment implies regular presence; whether that can be remote is unverified.</t>
  </si>
  <si>
    <t>https://startit.acceleratorapp.co/apply/program/1-year-program-start-it-fall-2026</t>
  </si>
  <si>
    <t>EWOR Fellowship</t>
  </si>
  <si>
    <t>Europe (virtual-first, remote across Europe)</t>
  </si>
  <si>
    <t>fellowship</t>
  </si>
  <si>
    <t>~7% per aggregator listing; page itself references separate 'Ideation Agreement' and 'Traction Agreement' templates without stating percentages. Capital comes from 'Roundtable ‚Äì EWOR Friends &amp; Family Fund I', not EWOR GmbH directly.</t>
  </si>
  <si>
    <t>Invests in individuals, not teams. Page states: 'We invest in people, not companies. Whether you make ‚Ç¨500K ARR or don't yet have an idea, it doesn't matter to us. We invest in and support you.'</t>
  </si>
  <si>
    <t>Unverified - EWOR historically uses a long multi-stage form plus video interviews. Budget 4-6h.</t>
  </si>
  <si>
    <t>Virtual-first; no stated relocation requirement</t>
  </si>
  <si>
    <t>https://www.ewor.com/apply/</t>
  </si>
  <si>
    <t>SparkLabs Taiwan Accelerator (Batch 11)</t>
  </si>
  <si>
    <t>Taiwan / Taipei</t>
  </si>
  <si>
    <t>$100K+ for up to 7%. Slightly better than ikigai's $100k for 8% in the same city.</t>
  </si>
  <si>
    <t>Not stated on the page. No team-size condition appears in the published criteria.</t>
  </si>
  <si>
    <t>Online application then three rounds of interviews. Effort not published. No video or references stated.</t>
  </si>
  <si>
    <t>Taiwan-anchored 3-month programme. The thesis is "global from day one" - they explicitly seek startups "ready for global expansion" rather than Taiwan-domestic ones. No residency or entity condition published.</t>
  </si>
  <si>
    <t>https://www.sparklabstaiwan.com/accelerator/program</t>
  </si>
  <si>
    <t>Slush 100 Startup Competition</t>
  </si>
  <si>
    <t>Finland (Helsinki), global entry</t>
  </si>
  <si>
    <t>Equity-free.</t>
  </si>
  <si>
    <t>No team-size requirement published.</t>
  </si>
  <si>
    <t>~3-5 hours via the Slush platform. Verify whether a video is required in phase 2.</t>
  </si>
  <si>
    <t>'The competition does not have a geographical exclusion.' Attendance in Helsinki required for the competition itself.</t>
  </si>
  <si>
    <t>https://platform.slush.org/public/slush26/activities/launch?side_event_id=9e8289e3-c313-444e-8eea-cf9061d0c28d</t>
  </si>
  <si>
    <t>AltaLab - Fall 2026</t>
  </si>
  <si>
    <t>Global - online sprint then residency</t>
  </si>
  <si>
    <t>"Participation at every stage starting from Founder Residency involves advisory options" - i.e. equity-linked advisory terms. Details are in their FAQ and must be read before filing.</t>
  </si>
  <si>
    <t>The FAQ carries a "Do I need a co-founder?" entry but the answer was not captured. Must be confirmed.</t>
  </si>
  <si>
    <t>~2 hours via Tally form.</t>
  </si>
  <si>
    <t>Stage 1 is online. Residency stage location is not published in the retrieved extract and must be confirmed.</t>
  </si>
  <si>
    <t>https://tally.so/r/xXBpq9</t>
  </si>
  <si>
    <t>Closes in 21 days on an open form. Forms are editable; file and refine.</t>
  </si>
  <si>
    <t>gener8tor Investment Accelerator</t>
  </si>
  <si>
    <t>Multiple US cities plus international</t>
  </si>
  <si>
    <t>Investment-for-equity; percentage not published</t>
  </si>
  <si>
    <t>Not enumerated. Budget 2-3 hours.</t>
  </si>
  <si>
    <t>Varies by city programme - Alabama, California, Delaware, Georgia, Minnesota, Nebraska, Nevada, North Dakota, Oklahoma, Wisconsin, plus global sites</t>
  </si>
  <si>
    <t>https://www.gener8tor.com/accelerators</t>
  </si>
  <si>
    <t>Tier 2</t>
  </si>
  <si>
    <t>Forum Ventures B2B Accelerator</t>
  </si>
  <si>
    <t>New York City / Toronto / San Francisco / remote, USA and Canada</t>
  </si>
  <si>
    <t>$100K for 7.5% on a post-money SAFE - now confirmed on the programme page (phase 1 had this as not stated)</t>
  </si>
  <si>
    <t>Not addressed on the page. Forum positions itself as a "fractional co-founder", which is structurally aimed at founders without a full team.</t>
  </si>
  <si>
    <t>1-2 hours. A pitch form, then a response within 1-2 weeks on whether to have a call. No video or references advertised.</t>
  </si>
  <si>
    <t>NO RELOCATION REQUIRED - remote participation accepted. Office locations available in Toronto, New York City and San Francisco.</t>
  </si>
  <si>
    <t>https://forumvc.com/pitch-us</t>
  </si>
  <si>
    <t>Worth the hours once the closing set is filed.</t>
  </si>
  <si>
    <t>LAUNCH Accelerator Cohort 37</t>
  </si>
  <si>
    <t>USA (remote-friendly, Silicon Valley network)</t>
  </si>
  <si>
    <t>NOT STATED. The FAQ lists "What are the deal terms?" as a question but the answer is not rendered on the page - this must be established before filing.</t>
  </si>
  <si>
    <t>1-2 hours estimated. Form at forms.launch.co; contents not enumerated.</t>
  </si>
  <si>
    <t>Mixed and not fully resolved on the page. It advertises "Plug into a pre-existing Silicon Valley network from anywhere in the world" and 25 in-person sessions; the FAQ question "Is the Accelerator in-person or remote?" is listed but its answer is not rendered.</t>
  </si>
  <si>
    <t>https://forms.launch.co/apply?prog=la&amp;Src=la-home&amp;mkt=organic</t>
  </si>
  <si>
    <t>Antler US Residency</t>
  </si>
  <si>
    <t>San Francisco, New York City and Austin, USA</t>
  </si>
  <si>
    <t>Not stated on the US page</t>
  </si>
  <si>
    <t>EXPLICITLY SOLO-FRIENDLY: "Co-founders are welcome, but at least one founder needs to be full-time in residency. Solo founders are also welcome."</t>
  </si>
  <si>
    <t>Not enumerated. Budget 1-3 hours.</t>
  </si>
  <si>
    <t>In-person at Antler's NYC, SF or Austin offices for up to 3 months</t>
  </si>
  <si>
    <t>US WORK AUTHORIZATION REQUIRED, AND ANTLER DOES NOT SPONSOR. Verbatim from antler.co/location/us: "At least one co-founder will need to already have work authorization that lets you build your company here. Antler does not provide visa sponsorship. We welcome founders to apply if they are U.S. citizens, permanent residents, or otherwise hold a status that provides independent, indefinite, and unrestricted work authorization." A solo founder based in Bangalore holding none of these cannot satisfy this for the US programme. This is a published legal eligibility wall, not a preference.</t>
  </si>
  <si>
    <t>https://www.antler.co/apply</t>
  </si>
  <si>
    <t>The Founders Club (Cohort 21)</t>
  </si>
  <si>
    <t>Online (Estonia-run)</t>
  </si>
  <si>
    <t>Entry fee ‚Ç¨1,000+VAT for individuals (‚Ç¨1,500+VAT teams, ‚Ç¨500+VAT CTOs/developers). Equity only if an investment offer is taken.</t>
  </si>
  <si>
    <t>Explicitly welcomes solo applicants ‚Äî 'you can team up with other program participants who have already existing idea propositions'.</t>
  </si>
  <si>
    <t>~2 hours. Prefers B2B tech founders with 7+ years experience or leadership background ‚Äî the founder's ISRO/Infineon/Intellect arc fits this profile precisely.</t>
  </si>
  <si>
    <t>None. Page states no geographical restrictions.</t>
  </si>
  <si>
    <t>https://startupwiseguys.com/all-programs/the-founders-club/founders-club-application/</t>
  </si>
  <si>
    <t>Google for Startups Accelerator: Middle East, North Africa and Turkey</t>
  </si>
  <si>
    <t>MENA + Turkey</t>
  </si>
  <si>
    <t>Equity-free. Google takes nothing.</t>
  </si>
  <si>
    <t>No team-size bar. The only team condition is "Commitment from CTO and/or technical roles to participate and engage in required program sessions" - the founder is both CEO and the technical builder, so one person satisfies it.</t>
  </si>
  <si>
    <t>2-4 hours. Standard Google accelerator form. No video and no references required.</t>
  </si>
  <si>
    <t>PHASE 1'S CENTRAL QUESTION IS ANSWERED, AND IT ANSWERS WELL. The full published eligibility list contains NO headquarters or basing requirement. Compare Google's own India page, which does carry one ("Startups based/headquartered in India"). The MENAT page carries no equivalent clause - it says only that the programme is designed for startups across the region. A Bangalore-based founder is not excluded by the published criteria, though regional relevance will plainly matter in review.</t>
  </si>
  <si>
    <t>https://startup.google.com/programs/accelerator/middle-east-north-africa-turkey/</t>
  </si>
  <si>
    <t>Closes in 17 days on an open form. Forms are editable; file and refine.</t>
  </si>
  <si>
    <t>Afore Founders in Residence (FIR)</t>
  </si>
  <si>
    <t>San Francisco, USA</t>
  </si>
  <si>
    <t>"We customize investment terms for each team, and we invest money for equity" - no fixed percentage published</t>
  </si>
  <si>
    <t>EXPLICITLY WELCOMES SOLO. The form asks "Are you working with a co-founder / teammate?" with "Working solo" as a first-class selectable option (alongside "Working with others" and "Looking for a co-founder"). The residence FAQ says "Both! We'll also help you find a co-founder - just let us know in the application above."</t>
  </si>
  <si>
    <t>Under 1 hour - the form says "This should take no longer than 10 minutes." Fields: name, email, LinkedIn, cohort, company name (optional), pitch deck URL (optional), location, one 3-5 sentence free-text answer, co-founder status, referral source. NO VIDEO and NO REFERENCES required. Decision within a week or two.</t>
  </si>
  <si>
    <t>Eight weeks in Afore's office in South Park, San Francisco, working alongside the Afore team and other FIRs. 24/7 office space available for the duration and beyond.</t>
  </si>
  <si>
    <t>https://airtable.com/apprAAsE4JhFBd8nL/pagGsh6fhh1fzZv6t/form</t>
  </si>
  <si>
    <t>Entrepreneurs Roundtable Accelerator (ERA) Winter 2027</t>
  </si>
  <si>
    <t>New York City, USA</t>
  </si>
  <si>
    <t>6% post-money SAFE for $150,000</t>
  </si>
  <si>
    <t>Not stated on the apply page - no published team-size rule found</t>
  </si>
  <si>
    <t>2-3 hours estimated. Applications route through a Google Form linked from the apply page. Contents not enumerable without opening the form; no video requirement advertised.</t>
  </si>
  <si>
    <t>New York City. Not restated as a hard relocation clause on the apply page.</t>
  </si>
  <si>
    <t>https://www.eranyc.com/apply/</t>
  </si>
  <si>
    <t>Antler</t>
  </si>
  <si>
    <t>Global - 20 to 30 city locations including Bangalore</t>
  </si>
  <si>
    <t>~8.5-12% depending on location, per aggregators; not stated on the apply form</t>
  </si>
  <si>
    <t>Antler's model explicitly accepts individuals who 'join solo' and matches co-founders during the residency</t>
  </si>
  <si>
    <t>Unverified</t>
  </si>
  <si>
    <t>Varies by city; Antler runs a Bangalore location among 20+ others</t>
  </si>
  <si>
    <t>Founders in Residence (FIR)</t>
  </si>
  <si>
    <t>US ‚Äî San Francisco (South Park)</t>
  </si>
  <si>
    <t>Customised; equity percentage not published</t>
  </si>
  <si>
    <t>Explicitly supported. On solo vs team: 'Both! We'll also help you find a co-founder ‚Äî just let us know in the application above.'</t>
  </si>
  <si>
    <t>~1-2 hours, Airtable form</t>
  </si>
  <si>
    <t>In-person in South Park, San Francisco; remote applicants still encouraged to apply</t>
  </si>
  <si>
    <t>The Bridge Residency - Fall 26</t>
  </si>
  <si>
    <t>San Francisco Bay Area, USA</t>
  </si>
  <si>
    <t>Not stated on the application form</t>
  </si>
  <si>
    <t>EXPLICITLY SOLO-FRIENDLY. The application form states verbatim: "You don't need to have a cofounder or an idea to apply". EF's model is talent-first: participants arrive pre-team and form teams inside the programme.</t>
  </si>
  <si>
    <t>STAGE ONE IS UNDER 30 MINUTES - the visible form is only name, email, phone and LinkedIn. EF's later stages are typically long-form with an interview and a technical assessment; budget 5-8 hours across the full funnel. No video required at stage one.</t>
  </si>
  <si>
    <t>Live and build in a dedicated Bay Area hacker house for 8 weeks. "San Francisco - The Bay Area". Visa support offered per EF's programme materials.</t>
  </si>
  <si>
    <t>https://apply.joinef.com/app/san-francisco-thebridge-fall/</t>
  </si>
  <si>
    <t>Closes in 16 days on an open form. Forms are editable; file and refine.</t>
  </si>
  <si>
    <t>Bessemer Beam</t>
  </si>
  <si>
    <t>United States ‚Äî global applicants</t>
  </si>
  <si>
    <t>Zero equity, zero debt. Only ask is the right to invest 30% of your next financing (capped at $3M) at your lead's terms, no discount.</t>
  </si>
  <si>
    <t>Explicitly welcomes solo founders: 'We welcome solo founders and early-stage startups in the pre-seed stages.'</t>
  </si>
  <si>
    <t>'A FAST APPLICATION' per the page; response within 2 business days</t>
  </si>
  <si>
    <t>Not stated as a relocation programme</t>
  </si>
  <si>
    <t>https://www.bvp.com/bessemer-beam</t>
  </si>
  <si>
    <t>Emergent Ventures (incl. EV India tranche)</t>
  </si>
  <si>
    <t>Global, with a dedicated India tranche</t>
  </si>
  <si>
    <t>Pure grant. No equity, no dilution.</t>
  </si>
  <si>
    <t>Individual-first by design. Grants go to individuals, not teams.</t>
  </si>
  <si>
    <t>~2-3 hours. Short-form written application. Eligibility floor is age 13+.</t>
  </si>
  <si>
    <t>None. Location agnostic; select the region your project will affect.</t>
  </si>
  <si>
    <t>https://mercatus.tfaforms.net/5099527</t>
  </si>
  <si>
    <t>Effective Altruism Funds (Transformative AI Fund and EA Infrastructure Fund)</t>
  </si>
  <si>
    <t>Page states they fund 'people, projects, non-profits and institutions' - individuals explicitly in scope</t>
  </si>
  <si>
    <t>Page advertises 'Apply in less than 1h'. No video required.</t>
  </si>
  <si>
    <t>None</t>
  </si>
  <si>
    <t>https://funds.effectivealtruism.org/apply-for-funding</t>
  </si>
  <si>
    <t>FIRSTPICK Accelerator</t>
  </si>
  <si>
    <t>Baltics (Vilnius, Lithuania)</t>
  </si>
  <si>
    <t>Not published on the apply page.</t>
  </si>
  <si>
    <t>Not stated. The fund's public thesis is backing 'founders who may be overlooked by traditional VC criteria' ‚Äî which reads favourably for a solo, non-EU applicant.</t>
  </si>
  <si>
    <t>~1-2 hours. 'they reply to every founder within 48 hours' ‚Äî fastest feedback loop in this lane.</t>
  </si>
  <si>
    <t>Baltic focus in the branding, but the form explicitly accepts applicants based outside Europe.</t>
  </si>
  <si>
    <t>https://firstpick.vc/apply</t>
  </si>
  <si>
    <t>Online Funding Inquiry (Intelligences funding cycle)</t>
  </si>
  <si>
    <t>Global; international applications encouraged</t>
  </si>
  <si>
    <t>Not stated; Templeton funds academic-led teams</t>
  </si>
  <si>
    <t>Stage one is a short Online Funding Inquiry; only invited projects submit a full proposal</t>
  </si>
  <si>
    <t>https://portal.templeton.org/</t>
  </si>
  <si>
    <t>Character Labs (Fall 2026)</t>
  </si>
  <si>
    <t>San Francisco start and end, otherwise online (US Pacific hours)</t>
  </si>
  <si>
    <t>5% for $200k</t>
  </si>
  <si>
    <t>Accepted with a stated preference against. Verbatim on solo founders: "Technically no, but ideally yes" - they "have a preference for teams for 2-3". A preference, not a bar.</t>
  </si>
  <si>
    <t>2-3 hours estimated; applications reviewed in order received with priority to earlier submissions. Form contents not enumerable without submitting an email.</t>
  </si>
  <si>
    <t>Starts and ends in person in San Francisco (Oct 27-30 and Nov 23-25); the middle is remote. "all synchronous sessions take place on USA time, roughly 9am to 2pm Pacific Daylight Time"</t>
  </si>
  <si>
    <t>https://contact.character.vc/labs</t>
  </si>
  <si>
    <t>Norrsken Evolve (formerly Norrsken Impact Accelerator)</t>
  </si>
  <si>
    <t>Sweden (Stockholm)</t>
  </si>
  <si>
    <t>'typically target 5% ownership'</t>
  </si>
  <si>
    <t>Not stated on the page.</t>
  </si>
  <si>
    <t>Airtable form, est. 2-4 hours.</t>
  </si>
  <si>
    <t>'We primarily support founders from Europe (EU27, EU Candidate Countries and the UK)' but also 'We will support a handful of high-potential companies outside Europe.' A Bangalore-based founder falls into the second category ‚Äî possible, not preferred.</t>
  </si>
  <si>
    <t>https://airtable.com/app7bGSveZe9qXGM5/pag01no0ldy3Ae7Br/form</t>
  </si>
  <si>
    <t>Snowflake for Startups / Startup Accelerator</t>
  </si>
  <si>
    <t>The credits track is non-dilutive; Snowflake Ventures is a separate equity vehicle</t>
  </si>
  <si>
    <t>Contact form rather than a structured application</t>
  </si>
  <si>
    <t>None stated</t>
  </si>
  <si>
    <t>https://www.snowflake.com/en/why-snowflake/startup-program/</t>
  </si>
  <si>
    <t>NYC AI Nexus ‚Äî Fall 2026 cohort</t>
  </si>
  <si>
    <t>US ‚Äî New York City</t>
  </si>
  <si>
    <t>Core Accelerator: 1‚Äì2% advisory shares. Separate Build Track: 15‚Äì50% founder stock.</t>
  </si>
  <si>
    <t>Page invites 'individuals or teams' ‚Äî no team requirement stated</t>
  </si>
  <si>
    <t>~2 hours</t>
  </si>
  <si>
    <t>'At least one member of the team must be based in NYC or be able to commute to NYC once per week for cohort programming'</t>
  </si>
  <si>
    <t>https://www.c10labs.com/apply</t>
  </si>
  <si>
    <t>Emergent Ventures India</t>
  </si>
  <si>
    <t>India (applicant may be anywhere; project must affect India)</t>
  </si>
  <si>
    <t>Non-dilutive grant, no equity</t>
  </si>
  <si>
    <t>Individuals; no team requirement</t>
  </si>
  <si>
    <t>~1-2 hours, same questionnaire</t>
  </si>
  <si>
    <t>Project must have an India focus. No Indian entity required.</t>
  </si>
  <si>
    <t>Together AI Startup Accelerator</t>
  </si>
  <si>
    <t>credits</t>
  </si>
  <si>
    <t>Non-dilutive</t>
  </si>
  <si>
    <t>No team-size requirement published</t>
  </si>
  <si>
    <t>~30 min form</t>
  </si>
  <si>
    <t>None - open worldwide</t>
  </si>
  <si>
    <t>https://www.together.ai/startup-accelerator</t>
  </si>
  <si>
    <t>Entrepreneur First ‚Äî London Program (Spring 2027)</t>
  </si>
  <si>
    <t>UK ‚Äî London, then San Francisco</t>
  </si>
  <si>
    <t>Not stated on EF pages read. Historically ~10% for the pre-seed cheque. UNVERIFIED.</t>
  </si>
  <si>
    <t>Explicitly welcomes solo. EF FAQ: "No you do not need a cofounder to apply. Our program brings together exceptional individuals to find a cofounder and build a startup from scratch." Also: "No, you do not need an idea to apply."</t>
  </si>
  <si>
    <t>~2‚Äì4h. Individual application (CV/LinkedIn, motivation, areas of interest). No video or references at the registration-of-interest stage.</t>
  </si>
  <si>
    <t>12 weeks in London, then relocation to San Francisco for the final phase (aggregator; not confirmed on EF's own page). EF FAQ mentions "visa assistance and relocation support" for the SF leg.</t>
  </si>
  <si>
    <t>https://apply.joinef.com/app/london-spring/</t>
  </si>
  <si>
    <t>Hub71 Access Programme (Cohort 20)</t>
  </si>
  <si>
    <t>UAE / Abu Dhabi</t>
  </si>
  <si>
    <t>SAFE note. Equity is taken. Valuation and percentage are not published on either page.</t>
  </si>
  <si>
    <t>No team-size rule published. VERIFIED across both the programme page and the apply page: the only founder-side condition is "At least one founder is expected to commit to relocating long-term and building a team out of Abu Dhabi." Solo is not excluded.</t>
  </si>
  <si>
    <t>Roughly 3-5 hours. A PITCH DECK IS MANDATORY: the page requires "a pitch deck in PDF format covering problem, solution, value proposition, business model, competition, market traction, funding history, founding team details, and Abu Dhabi plans." No video required. No references required. The Abu Dhabi plan section is bespoke work that cannot be reused from another application.</t>
  </si>
  <si>
    <t>12-month programme in Abu Dhabi. "At least one founder is expected to commit to relocating long-term and building a team out of Abu Dhabi." This is the strongest location condition of any OPEN programme in this lane - a long-term relocation commitment, not a visit.</t>
  </si>
  <si>
    <t>https://www.hub71.com/program/access-programme/apply</t>
  </si>
  <si>
    <t>ikigai Launchpad (Fall 2026)</t>
  </si>
  <si>
    <t>$100,000 for 8% via SAFE. That is a $1.25M effective valuation - the most expensive equity per dollar of any funded programme in this lane except Tenity.</t>
  </si>
  <si>
    <t>Explicitly welcomes solo, verified on the programme FAQ: "A co-founder is not required, but the company needs credible technical or domain capability on the founding team." The founder is the builder, so the condition is met on his own.</t>
  </si>
  <si>
    <t>Roughly 1-2 hours despite the form's own "10-20 minutes" estimate, because a FOUNDER INTRO VIDEO IS REQUIRED ("Submit a short intro video") and that is the long pole. Seven sections: contact and company, problem/solution/competition, stage and traction and business model and AI implementation, team background plus the video, and how you found the programme. No references required. English only.</t>
  </si>
  <si>
    <t>10 weeks in person in Taipei. "The program takes place in person in Taipei. All co-founders are expected to join on site." Free office space for the full 10 weeks. No nationality or residency condition - "We are open to founders anywhere."</t>
  </si>
  <si>
    <t>https://tally.so/r/w5p4jQ</t>
  </si>
  <si>
    <t>Greylock Edge</t>
  </si>
  <si>
    <t>No set terms and no required dilution upfront. Listed under "What we are not": "Set terms and required dilution upfront in order for you to join the program." FAQ "What's the catch?": "There isn't one... If after working with us in Edge, you decide not to seek funding from Greylock, you are fully able to and encouraged to explore fundraising opportunities with any other investors."</t>
  </si>
  <si>
    <t>No bar and no team requirement stated. FAQ "What do I need to have to apply?": "Edge is designed to meet founders where they are, especially from the very onset at Day Zero. If you possess unwavering dedication to embarking on a journey to build a significant enterprise, we're eager to engage with you - no other prerequisites necessary." The form addresses a single "you", not a team.</t>
  </si>
  <si>
    <t>1-2 hours. Short typeform: name, email, LinkedIn, then a small number of follow-up questions. No video and no references required. FAQ: "There is no standard programming or mandatory meetings to be spent with us."</t>
  </si>
  <si>
    <t>Not stated on the page. No relocation requirement published.</t>
  </si>
  <si>
    <t>https://form.typeform.com/to/a9xz4TxD</t>
  </si>
  <si>
    <t>HF0 Residency</t>
  </si>
  <si>
    <t>NOT STATED ON ANY HF0 PAGE. The 5% figure is third-party only and unverified.</t>
  </si>
  <si>
    <t>Not stated. HF0's own positioning line is "The residency for repeat founders." - a track-record signal, not a team-size rule. Third parties say repeat technical founders are favoured.</t>
  </si>
  <si>
    <t>Unknown beyond step one. The first step is trivial (name, email, phone). Budget 2-4 hours for the full multi-step form and check for a video requirement past step one.</t>
  </si>
  <si>
    <t>In-person live-in residency, San Francisco. On-site housing and meals per third-party listings, not stated on the HF0 pages.</t>
  </si>
  <si>
    <t>https://www.hf0.com/apply</t>
  </si>
  <si>
    <t>Flagship Accelerator ‚Äî Batch 36</t>
  </si>
  <si>
    <t>US ‚Äî Silicon Valley</t>
  </si>
  <si>
    <t>$150,000 for a 6% stake, subject to terms and diligence</t>
  </si>
  <si>
    <t>Not published on this page</t>
  </si>
  <si>
    <t>~3-4 hours</t>
  </si>
  <si>
    <t>Four-month in-person programme hosted in Silicon Valley</t>
  </si>
  <si>
    <t>https://500.co/founders/flagship</t>
  </si>
  <si>
    <t>Speedrun SR008</t>
  </si>
  <si>
    <t>GLOBAL applicants ‚Äî programme in San Francisco</t>
  </si>
  <si>
    <t>Not published on the apply page</t>
  </si>
  <si>
    <t>No published restriction found</t>
  </si>
  <si>
    <t>~3-5 hours; Speedrun historically asks for a demo video</t>
  </si>
  <si>
    <t>12 weeks IRL in San Francisco; 'Open to Founders Around The World' for applying</t>
  </si>
  <si>
    <t>https://speedrun.a16z.com/apply</t>
  </si>
  <si>
    <t>Alchemist Accelerator (Flagship)</t>
  </si>
  <si>
    <t>San Francisco / Silicon Valley, USA</t>
  </si>
  <si>
    <t>"Most Alchemist companies grant 5.00% of equity, but Alchemist has flexible terms"</t>
  </si>
  <si>
    <t>ACCEPTED WITH A STATED HIGHER BAR. Verbatim: "Do you accept solo founders? Yes, Alchemist will accept solo founders. However, the bar for solo founders is significantly higher." Preferred team size is 2-3 co-founders with technical expertise. A condition, not a stop.</t>
  </si>
  <si>
    <t>3-4 hours. Four sections. The form's own guidance: "When applying, please pay special attention to the section about your team. Of all the information you share, the founding team is especially important to us." Company and team details, full address, several long textareas on product/market/traction, URL fields. NO VIDEO required and no references. Decisions within roughly three weeks.</t>
  </si>
  <si>
    <t>NO RELOCATION REQUIRED - a significant correction. "Alchemist companies may be located anywhere in the world" and "Programming and mentorship are available virtually." Free co-working space in San Francisco is offered but not mandated.</t>
  </si>
  <si>
    <t>https://www.alchemistaccelerator.com/apply</t>
  </si>
  <si>
    <t>Antler Residency (global ‚Äî London, Singapore, Bangalore, Amsterdam/Berlin, Nordics, US, MEA)</t>
  </si>
  <si>
    <t>Global ‚Äî 30 locations; single application form routes by region and city</t>
  </si>
  <si>
    <t>UK carries a ¬£40k programme fee inside the deal. Singapore states no fee 'Not up-front, not after investment.' Terms differ materially by location ‚Äî verify per city.</t>
  </si>
  <si>
    <t>Explicitly fine: 'Whether solo or in an early team, our London residency is an eight-week sprint.' Antler often invests 'pre-team, pre-product, or pre-revenue.'</t>
  </si>
  <si>
    <t>Short web form (name, stage, region, city, optional deck). Singapore route uses an AI-guided conversation, ~30 minutes, which fast-tracks you.</t>
  </si>
  <si>
    <t>Full-time in person for the residency duration in the chosen city. Founders pay their own travel and living costs.</t>
  </si>
  <si>
    <t>PearX W27</t>
  </si>
  <si>
    <t>Not stated on the application page or the form. Equity percentage is not published.</t>
  </si>
  <si>
    <t>No bar. The form asks "How many founders do you have?" with 1 as a selectable option, and asks for the equity split among founders. Solo is an accepted answer, not an exclusion.</t>
  </si>
  <si>
    <t>3-5 hours. A 1-MINUTE FOUNDER VIDEO IS REQUIRED ("Please record a 1-min video introducing yourselves and the company" - unlisted YouTube link). Optional product demo video and PDF deck. Long-form written answers on problem, unique insight, traction, competitors, bottoms-up market sizing, plus two founder essays. No references required.</t>
  </si>
  <si>
    <t>All PearX teams are required to relocate to the SF Bay Area for the duration (per pear.vc/pearx). R2 interviews are in person at Pear Studio SF.</t>
  </si>
  <si>
    <t>https://pear.vc/pearx-application/</t>
  </si>
  <si>
    <t>Antler Residency ‚Äî Continental Europe (Amsterdam/Berlin)</t>
  </si>
  <si>
    <t>Netherlands / Germany (single combined cohort)</t>
  </si>
  <si>
    <t>Not published on the apply page or the cohort page.</t>
  </si>
  <si>
    <t>Founder-first; individual applicants are the intended intake.</t>
  </si>
  <si>
    <t>~1 hour short form; 1-2 hours with the optional deck. No video, no references.</t>
  </si>
  <si>
    <t>In person in Amsterdam or Berlin. No visa or residency wording appears on the apply page.</t>
  </si>
  <si>
    <t>Manifund</t>
  </si>
  <si>
    <t>Non-dilutive. Grants and impact certificates, no equity.</t>
  </si>
  <si>
    <t>Individuals post projects under their own name; the front page is dominated by solo project leads</t>
  </si>
  <si>
    <t>2-4 hours. Create a project page with description and funding target. No video required.</t>
  </si>
  <si>
    <t>https://manifund.org/</t>
  </si>
  <si>
    <t>Antler MENAP Residency (Dubai / Riyadh)</t>
  </si>
  <si>
    <t>UAE and Saudi Arabia</t>
  </si>
  <si>
    <t>$180,000 for 11% via SAFE, plus up to $320,000 uncapped follow-on. Better per-dollar than Antler Singapore ($180k/11% vs $150k/10%).</t>
  </si>
  <si>
    <t>MATERIAL FINDING phase 1 did not have - Antler MENAP publishes an explicit solo position: "we typically do not invest in solo founders after the program. Rather, we prefer to invest in teams of two or three co-founders". Teams should have "complementary, non-overlapping skills, each owning a key business function". Under screening rule 3 this is a stance and not a submit-block, so it stays on the list - but it means the investment at the end is aimed at a team the founder does not have.</t>
  </si>
  <si>
    <t>Short application to introduce yourself, then an offer. Comparable to Singapore, roughly 2-3 hours with the deck.</t>
  </si>
  <si>
    <t>10-week full-time in-person residency. Dubai in Spring, Riyadh in Fall. The page carries a self-selection warning: "If MENAP is not a region of strategic interest for your venture - either for engaging local customers or establishing teams and operations - consider applying to one of Antler's other residency locations worldwide." VISA QUESTION RESOLVED: "Founders are responsible for arranging and coordinating their own visas. Both Saudi Arabia and the UAE offer convenient tourist visa options for most nationalities." No visa wall for an Indian passport holder.</t>
  </si>
  <si>
    <t>https://www.antler.co/location/menap</t>
  </si>
  <si>
    <t>500 Global Flagship Accelerator (Batch 37)</t>
  </si>
  <si>
    <t>Palo Alto / Silicon Valley, USA</t>
  </si>
  <si>
    <t>$150,000 for 6%, subject to terms and diligence, with a program fee of $37,500 which can be subtracted from the investment - net capital to the company is therefore approximately $112,500</t>
  </si>
  <si>
    <t>No published 2+ founder rule found. At least one full-time founder is generally expected.</t>
  </si>
  <si>
    <t>Unverified - the form is behind a free account signup. Budget 2-4 hours.</t>
  </si>
  <si>
    <t>"four-month in-person program is hosted in Silicon Valley" - relocation to Palo Alto for the duration</t>
  </si>
  <si>
    <t>https://flagship.aplica.500.co/en/sites/flagship</t>
  </si>
  <si>
    <t>Internet Freedom Fund</t>
  </si>
  <si>
    <t>Global - "irrespective of nationality"</t>
  </si>
  <si>
    <t>Reported: "Individuals or organizations (for-profit or nonprofit) of all ages irrespective of nationality, creed, or sex are eligible to apply" - one of the most permissive eligibility statements in the lane</t>
  </si>
  <si>
    <t>Concept note first - low cost to enter</t>
  </si>
  <si>
    <t>https://apply.opentech.fund/internet-freedom-fund-concept-note/</t>
  </si>
  <si>
    <t>Village Global Velocity</t>
  </si>
  <si>
    <t>Global applicants; San Francisco-centred, historically virtual-friendly</t>
  </si>
  <si>
    <t>Not published for Velocity. Predecessor Network Catalyst terms were $150K on a SAFE for 7% - do NOT assume these carry over.</t>
  </si>
  <si>
    <t>No published team requirement. "We're happy to be your first investor, pre-traction and pre-revenue. Even if you just have an idea and no formal company yet - drop us a line."</t>
  </si>
  <si>
    <t>~1-2 hours. Short application form.</t>
  </si>
  <si>
    <t>Not stated for Velocity. The predecessor accepted founders "located anywhere in the world (participate virtually or in SF)".</t>
  </si>
  <si>
    <t>https://www.villageglobal.com/velocity/apply</t>
  </si>
  <si>
    <t>Deeptech Labs</t>
  </si>
  <si>
    <t>UK ‚Äî Cambridge</t>
  </si>
  <si>
    <t>For equity; percentage not published.</t>
  </si>
  <si>
    <t>Not stated on the site.</t>
  </si>
  <si>
    <t>~2h Typeform.</t>
  </si>
  <si>
    <t>Cambridge-based 3-month programme. Tracks pre-Series A European deeptech.</t>
  </si>
  <si>
    <t>https://deeptechlabs.typeform.com/cohortapp</t>
  </si>
  <si>
    <t>Sanabil Startup Unlocked by 500 Global (Batch 5)</t>
  </si>
  <si>
    <t>Saudi Arabia / Riyadh</t>
  </si>
  <si>
    <t>None stated. No equity is mentioned anywhere on the programme pages.</t>
  </si>
  <si>
    <t>Not stated on either the Aplica page or the 500.co bootcamp page. No team-size condition appears in the published eligibility.</t>
  </si>
  <si>
    <t>Under 2 hours. Short form on the Aplica platform. No video requirement and no references stated.</t>
  </si>
  <si>
    <t>5-day in-person bootcamp in Riyadh. "Built for startups looking to expand in Saudi Arabia." Whether travel and accommodation are self-funded is NOT stated on either page - phase 1 asked and the pages do not answer it.</t>
  </si>
  <si>
    <t>https://sanabilstartupunlocked.aplica.500.co/</t>
  </si>
  <si>
    <t>Closes in 9 days on an open form. Forms are editable; file and refine.</t>
  </si>
  <si>
    <t>Entrepreneur First ‚Äî Fellowship Residency</t>
  </si>
  <si>
    <t>United States (San Francisco)</t>
  </si>
  <si>
    <t>Equity-free grant. Optional pathway to pitch for EF's full $250K investment during the residency.</t>
  </si>
  <si>
    <t>Designed for individuals, not teams ‚Äî you apply as a person. Structurally solo-friendly, though EF's core thesis is co-founder matching.</t>
  </si>
  <si>
    <t>Rolling form; interviews with EF US team, advisors, alumni and leadership if progressed</t>
  </si>
  <si>
    <t>Live in SF for three months alongside other founders</t>
  </si>
  <si>
    <t>https://www.joinef.com/the-fellowship-residency/</t>
  </si>
  <si>
    <t>Hub71+ AI</t>
  </si>
  <si>
    <t>Inherits Access: SAFE note, equity taken.</t>
  </si>
  <si>
    <t>Inherits the Access Programme stance - no published team-size rule.</t>
  </si>
  <si>
    <t>Zero incremental effort. It is one yes/no question inside the Access form.</t>
  </si>
  <si>
    <t>Inherits Access: Abu Dhabi, with at least one founder committing to long-term relocation.</t>
  </si>
  <si>
    <t>Google AI Futures Fund</t>
  </si>
  <si>
    <t>Global (anywhere Gemini is available)</t>
  </si>
  <si>
    <t>non-dilutive scheme</t>
  </si>
  <si>
    <t>Hybrid. Access + credits are non-dilutive; investment is optional and separate.</t>
  </si>
  <si>
    <t>No stated team requirement</t>
  </si>
  <si>
    <t>Short Google Form, ~1 hour. No video required.</t>
  </si>
  <si>
    <t>'Open to companies anywhere Gemini is available'</t>
  </si>
  <si>
    <t>https://docs.google.com/forms/d/e/1FAIpQLSeRxGtBtR5jvunlcVfgjd9M6xM6Glna7Kh3JvFQR1C0UgzG_Q/viewform?resourcekey=0-6bXfRbWW3dF9UCSBfeYHTw</t>
  </si>
  <si>
    <t>Gemini Startup Forum</t>
  </si>
  <si>
    <t>GLOBAL applicants ‚Äî event in the Bay Area</t>
  </si>
  <si>
    <t>Equity-free</t>
  </si>
  <si>
    <t>Not addressed; selection is founder-level</t>
  </si>
  <si>
    <t>~1 hour</t>
  </si>
  <si>
    <t>Must attend two days in the Bay Area; open to founders from around the world</t>
  </si>
  <si>
    <t>https://startup.google.com/programs/forum/global/</t>
  </si>
  <si>
    <t>Closes in 14 days on an open form. Forms are editable; file and refine.</t>
  </si>
  <si>
    <t>Cloudflare Workers Launchpad</t>
  </si>
  <si>
    <t>Historically "less than five minutes to submit your application through the Workers Launchpad portal" per Cloudflare's own launch post. Currently unmeasurable because the form does not render.</t>
  </si>
  <si>
    <t>None - virtual programme with a virtual Demo Day</t>
  </si>
  <si>
    <t>Iterative (Winter 2027 batch)</t>
  </si>
  <si>
    <t>Southeast Asia (remote-first, Singapore-anchored)</t>
  </si>
  <si>
    <t>10-15% for $150k-$500k, "invested in full immediately" with "no milestones to meet, no clawbacks, and absolutely no program fees." At the top of the range this is the best terms-per-dollar of any equity programme in the lane.</t>
  </si>
  <si>
    <t>No solo bar published. Stage bar essentially absent: "I ONLY HAVE AN IDEA. CAN I APPLY TO ITERATIVE? Absolutely, Yes!" and they have invested in "companies that were just 2 week old concepts". Selection turns on Market, Evidence and Founder - "Are the founder(s) able to solve that problem?", with the plural bracketed.</t>
  </si>
  <si>
    <t>Written application plus interview. "We provide detailed feedback to everyone who interviews" - unusual, and worth something even on a rejection. Effort not published; assume 2-4 hours.</t>
  </si>
  <si>
    <t>Focused on Southeast Asia. "In-person orientation, fully remote program" - a 4-day in-person kickoff, remainder remote. No explicit geographic exclusion is published, but the SEA focus is the whole thesis and India is not Southeast Asia. This is the open question and Iterative's pages do not answer it; the page directs unclear cases to hello@iterative.vc.</t>
  </si>
  <si>
    <t>https://www.iterative.vc/apply</t>
  </si>
  <si>
    <t>Menlo Anthology Fund</t>
  </si>
  <si>
    <t>Global (San Francisco and Menlo Park offices)</t>
  </si>
  <si>
    <t>Negotiated case by case; Menlo leads or participates</t>
  </si>
  <si>
    <t>Not addressed on the page - no team-size requirement published</t>
  </si>
  <si>
    <t>1-2 hours. Embedded Airtable form covering startup, team, AI use case and traction. Response in approximately two weeks. No video or references advertised.</t>
  </si>
  <si>
    <t>NONE - CONFIRMED GLOBAL. Verbatim: "Although we prefer to invest in companies based in the U.S., we know that innovation can happen anywhere in the world and will back exceptional companies internationally." Fractional workspace offered in Menlo's SF and Menlo Park offices.</t>
  </si>
  <si>
    <t>https://menlovc.com/anthology-fund-application/</t>
  </si>
  <si>
    <t>Afore Capital Founder in Residence (FIR)</t>
  </si>
  <si>
    <t>United States (South Park, San Francisco)</t>
  </si>
  <si>
    <t>Flexible; Afore leads pre-seed rounds. Terms not published.</t>
  </si>
  <si>
    <t>Explicitly both: 'Do you back solo founders or teams? Both! We'll also help you find a co-founder ‚Äî just let us know in the application above.'</t>
  </si>
  <si>
    <t>Single form on the page</t>
  </si>
  <si>
    <t>In person in South Park SF, but page says 'We recognize all teams can't make it there so we encourage you to apply nonetheless.'</t>
  </si>
  <si>
    <t>http://afore.vc/residence</t>
  </si>
  <si>
    <t>R[3]sidency √ó Construct</t>
  </si>
  <si>
    <t>Europe ‚Äî London</t>
  </si>
  <si>
    <t>Not published in the announcement</t>
  </si>
  <si>
    <t>Not addressed; accepts founders 'at any stage: idea phase, have an MVP or live product'</t>
  </si>
  <si>
    <t>'Willing to co-work IRL in London for all or part of the program' ‚Äî the 'or part' is the opening</t>
  </si>
  <si>
    <t>https://r3sidency.fabric.vc/</t>
  </si>
  <si>
    <t>Velocity</t>
  </si>
  <si>
    <t>Global (fully remote)</t>
  </si>
  <si>
    <t>DILUTIVE. No non-dilutive track was found. Network Catalyst is explicitly 7% equity; Velocity provides capital on undisclosed terms.</t>
  </si>
  <si>
    <t>Low - a submission form, though a warm introduction via a Network Leader is the stated preferred route</t>
  </si>
  <si>
    <t>"fully remote, with founders able to join from anywhere in the world"</t>
  </si>
  <si>
    <t>https://www.villageglobal.vc/</t>
  </si>
  <si>
    <t>Antler Residency ‚Äî Nordics (Stockholm, Oslo, Copenhagen, Helsinki)</t>
  </si>
  <si>
    <t>Nordics (Sweden, Norway, Denmark, Finland)</t>
  </si>
  <si>
    <t>Equity investment; exact terms not published on the apply page.</t>
  </si>
  <si>
    <t>Antler's core model is built around individual founders who form teams inside the residency; the apply form accepts a single applicant. Explicitly founder-first rather than team-first.</t>
  </si>
  <si>
    <t>~1-2 hours for the basic form; the pitch form additionally takes a deck upload (10MB max). No video required.</t>
  </si>
  <si>
    <t>Must be able to work from the chosen city. Apply page notes eligibility for multiple locations 'depending on your visa status' ‚Äî a residence/work permit for the chosen Nordic country is the real gate.</t>
  </si>
  <si>
    <t>Z Fellows</t>
  </si>
  <si>
    <t>Global applicants; one week in Silicon Valley, US</t>
  </si>
  <si>
    <t>Optional $10,000 investment at a $1B valuation cap (converts at next priced round), or participate with no money and no equity at all. "You can participate without money or we can give you a $10,000 investment at a $1B valuation cap."</t>
  </si>
  <si>
    <t>No stated preference for teams. "You can fill out just one application for your team. If you have a co-founder, make sure to note this somewhere." Individuals routinely accepted.</t>
  </si>
  <si>
    <t>~3-4 hours. Ten required 100-word essays. No video required per third-party guides - verify on the form.</t>
  </si>
  <si>
    <t>One week in person in Silicon Valley</t>
  </si>
  <si>
    <t>https://www.zfellows.com/</t>
  </si>
  <si>
    <t>Startup World Cup regional competitions</t>
  </si>
  <si>
    <t>Global - 100+ regional events</t>
  </si>
  <si>
    <t>NOT equity-free at the top - the $1M "will either be in exchange for a portion of equity related to the most recent round of funding or a convertible note". Regional prizes vary.</t>
  </si>
  <si>
    <t>No team-size rule</t>
  </si>
  <si>
    <t>Low per regional - free to apply, and a startup may apply to more than one regional</t>
  </si>
  <si>
    <t>"We accept applications regardless of your location. We encourage you to apply to the closest regional competition." Grand Finale in San Francisco.</t>
  </si>
  <si>
    <t>https://www.startupworldcup.io/</t>
  </si>
  <si>
    <t>ERA Winter 2027 Cohort</t>
  </si>
  <si>
    <t>6% post-money</t>
  </si>
  <si>
    <t>Not stated on the apply page</t>
  </si>
  <si>
    <t>New York City</t>
  </si>
  <si>
    <t>Innovate UK open competitions (Innovation Funding Service)</t>
  </si>
  <si>
    <t>UK</t>
  </si>
  <si>
    <t>NON-DILUTIVE grant funding. No equity.</t>
  </si>
  <si>
    <t>Not applicable ‚Äî grants are awarded to companies, not founders.</t>
  </si>
  <si>
    <t>20‚Äì40h per competition. Long-form technical and financial documents with detailed project plans and costings; no video.</t>
  </si>
  <si>
    <t>"All applicants must be UK-registered companies and carry out their project activities in the UK."</t>
  </si>
  <si>
    <t>https://apply-for-innovation-funding.service.gov.uk/competition/search</t>
  </si>
  <si>
    <t>Closes in 20 days on an open form. Forms are editable; file and refine.</t>
  </si>
  <si>
    <t>Founder University Cohort 13</t>
  </si>
  <si>
    <t>Remote / virtual (US Central time sessions)</t>
  </si>
  <si>
    <t>Under 1 hour. Low-friction form.</t>
  </si>
  <si>
    <t>Fully remote in practice, though the FAQ answer to "Is Founder University in-person or remote?" does not render on the page</t>
  </si>
  <si>
    <t>https://forms.launch.co/apply?prog=fun</t>
  </si>
  <si>
    <t>Blocked</t>
  </si>
  <si>
    <t>Thiel Fellowship</t>
  </si>
  <si>
    <t>Global applicants; US-based programme</t>
  </si>
  <si>
    <t>Grant. No equity taken.</t>
  </si>
  <si>
    <t>Individual fellowship - solo is the default.</t>
  </si>
  <si>
    <t>Not applicable - ineligible.</t>
  </si>
  <si>
    <t>AGE AND EDUCATION. FAQ, in the programme's own words: "Anyone aged 22 or younger (and without a university degree) is eligible to apply." The founder holds a TUM degree and is well past 22. Two independent, published, binary walls.</t>
  </si>
  <si>
    <t>https://thielfellowship.org/apply</t>
  </si>
  <si>
    <t>Qatar Science &amp; Technology Park Incubation and Startup Qatar TASMU Accelerator</t>
  </si>
  <si>
    <t>Qatar / Doha</t>
  </si>
  <si>
    <t>Equity-free and explicitly so: "Founders retain 100% full company ownership; TASMU Accelerator believes in truly empowering your growth without taking a single slice of equity."</t>
  </si>
  <si>
    <t>Not stated.</t>
  </si>
  <si>
    <t>Not established - no live intake to describe.</t>
  </si>
  <si>
    <t>Qatar-oriented but delivered remotely: TASMU is a "virtual acceleration platform with flexible, global access", which would suit a founder unwilling to relocate. QSTP is a free zone within Qatar Foundation's Education City and its incubation programme includes quick incorporation support, implying no pre-existing entity is needed.</t>
  </si>
  <si>
    <t>https://accelerator.tasmu.gov.qa/</t>
  </si>
  <si>
    <t>Plug and Play</t>
  </si>
  <si>
    <t>Sunnyvale, California plus 40+ global locations including India</t>
  </si>
  <si>
    <t>0-5%, optional - participation is possible with no equity taken</t>
  </si>
  <si>
    <t>OPC directory records 'Solo ‚úì'</t>
  </si>
  <si>
    <t>Many locations globally, including India; 12-week programmes</t>
  </si>
  <si>
    <t>https://www.plugandplaytechcenter.com/apply</t>
  </si>
  <si>
    <t>Drive Capital Seed Program</t>
  </si>
  <si>
    <t>Austin, Atlanta, Boulder, Chicago, Columbus (USA) and Toronto</t>
  </si>
  <si>
    <t>SAFE; no percentage published</t>
  </si>
  <si>
    <t>1-2 hours estimated. A Fillout form. Contents not enumerated; no video or references advertised.</t>
  </si>
  <si>
    <t>Organised around six named cities with a General Manager each - Austin, Atlanta, Boulder, Chicago, Columbus and Toronto. NOT EXCLUSIVE, verbatim: "Working on an idea outside of these five markets? We'd still love to hear about it."</t>
  </si>
  <si>
    <t>https://form.fillout.com/t/aT3BECVJE9us</t>
  </si>
  <si>
    <t>Expert Dojo</t>
  </si>
  <si>
    <t>Santa Monica, California, USA</t>
  </si>
  <si>
    <t>3.5% to 7% equity</t>
  </si>
  <si>
    <t>Santa Monica address; remote eligibility not stated</t>
  </si>
  <si>
    <t>https://expertdojo.com/application/</t>
  </si>
  <si>
    <t>LAUNCH Accelerator</t>
  </si>
  <si>
    <t>United States (San Francisco Bay Area)</t>
  </si>
  <si>
    <t>Per third-party listing, $125K for 7%; not confirmed on the page</t>
  </si>
  <si>
    <t>Not addressed</t>
  </si>
  <si>
    <t>Bay Area, in person</t>
  </si>
  <si>
    <t>https://www.launchaccelerator.co/</t>
  </si>
  <si>
    <t>Techstars Founder Catalyst Global Fall 2026</t>
  </si>
  <si>
    <t>Virtual (partner communities only)</t>
  </si>
  <si>
    <t>No equity taken and no fee</t>
  </si>
  <si>
    <t>EXPLICITLY SOLO-FRIENDLY: "This program is sector-agnostic and open to both solo founders and founding teams."</t>
  </si>
  <si>
    <t>Low - not applicable given the eligibility wall</t>
  </si>
  <si>
    <t>Virtual, delivered in English</t>
  </si>
  <si>
    <t>GEOGRAPHIC ELIGIBILITY WALL, CONFIRMED VERBATIM. The programme is "offered exclusively to founders from our partner communities in Istanbul, Sarajevo, Omaha, Uzbekistan, and Belfast" and the eligible-communities section states it is "for early-stage founders currently building in the following communities: Omaha, Sarajevo, Istanbul, Uzbekistan, Belfast." Bangalore does not qualify. This is a published eligibility requirement, not a preference.</t>
  </si>
  <si>
    <t>https://www.techstars.com/techstars-founder-catalyst-global-fall-2026-program</t>
  </si>
  <si>
    <t>XTC AI:360 Global Startup Competition 2026</t>
  </si>
  <si>
    <t>Global, with the final showcase in Palo Alto, California</t>
  </si>
  <si>
    <t>Competition, non-dilutive</t>
  </si>
  <si>
    <t>2-4 hours estimated via F6S</t>
  </si>
  <si>
    <t>None to apply. Winners present live at the AI:360 Summit in California in November 2026.</t>
  </si>
  <si>
    <t>https://www.f6s.com/ai360xtc/apply</t>
  </si>
  <si>
    <t>Berkeley Gateway Accelerator ‚Äî Fall '26</t>
  </si>
  <si>
    <t>US ‚Äî Berkeley, California</t>
  </si>
  <si>
    <t>~10% equity via SAFE, with pro-rata rights</t>
  </si>
  <si>
    <t>Explicit: 'Solo founders and team are welcome to apply.'</t>
  </si>
  <si>
    <t>~1-2 hours, Google Form</t>
  </si>
  <si>
    <t>Must relocate to Berkeley for the 5-month residency</t>
  </si>
  <si>
    <t>https://docs.google.com/forms/d/e/1FAIpQLSetPEI2DkAPGjqkxO02I3v3u3oT2vGTRP-NMm9jRR1_6Bl3gw/viewform</t>
  </si>
  <si>
    <t>Antler Residency ‚Äî Amsterdam</t>
  </si>
  <si>
    <t>Netherlands</t>
  </si>
  <si>
    <t>Equity; terms not published on the apply page.</t>
  </si>
  <si>
    <t>Founder-first residency; individual applicants are the norm.</t>
  </si>
  <si>
    <t>~1-2 hours; deck upload optional.</t>
  </si>
  <si>
    <t>Amsterdam, in person. Antler states applicants 'must meet visa eligibility requirements for their chosen residency location'.</t>
  </si>
  <si>
    <t>ODF (On Deck Founders) - ODF28</t>
  </si>
  <si>
    <t>Global applicants; programme in San Francisco, US</t>
  </si>
  <si>
    <t>Zero equity. Pay-what-you-can contribution, suggested $1000 USD covering venue, food and year-round community infrastructure.</t>
  </si>
  <si>
    <t>Explicitly welcomes solo - page targets solo founders and pre-team builders; over half of ODF companies met their co-founder there.</t>
  </si>
  <si>
    <t>~2-4 hours. Process: apply, then optional async video, interview, optional 2nd interview, decision in ~36 hours.</t>
  </si>
  <si>
    <t>Must attend the full five-business-day SF sprint in person. Visa letters available for the onboarding week. Page states ODF is most valuable if you plan to sell to US customers or establish long-term US presence.</t>
  </si>
  <si>
    <t>https://form.fillout.com/t/x2fuWdEqkSus</t>
  </si>
  <si>
    <t>Barclays Eagle Labs ‚Äî Funding Readiness Programme</t>
  </si>
  <si>
    <t>None ‚Äî equity-free and free to participate.</t>
  </si>
  <si>
    <t>Not stated. No team requirement published.</t>
  </si>
  <si>
    <t>~1h, but you must first join the Eagle Labs Community platform to apply ‚Äî an account-creation step, not just a form.</t>
  </si>
  <si>
    <t>UK businesses. Mix of virtual and in-person.</t>
  </si>
  <si>
    <t>https://labs.uk.barclays/what-we-offer/our-programmes/eagle-labs-funding-readiness-programme/</t>
  </si>
  <si>
    <t>MuckerLab</t>
  </si>
  <si>
    <t>Los Angeles, USA - applications worldwide, no relocation</t>
  </si>
  <si>
    <t>10% to 15% equity</t>
  </si>
  <si>
    <t>Not stated on the page; OPC directory records it as accepting solo founders</t>
  </si>
  <si>
    <t>None. Page states: 'We accept applications from all over the world. There is no requirement to relocate for the MuckerLab program.'</t>
  </si>
  <si>
    <t>https://mucker.com/accelerator</t>
  </si>
  <si>
    <t>Forge Residency - Cohort 02 (Bali)</t>
  </si>
  <si>
    <t>Indonesia (Ubud, Bali); Cohort 01 was Bengaluru, India</t>
  </si>
  <si>
    <t>Zero. "forge takes no money and no equity. we make nothing from you." No application fee, no tuition. Housing, dinners, AI credits and domains covered.</t>
  </si>
  <si>
    <t>Individuals and teams both. Cohort 01 was 13 founders across 8 teams, so solo entries were clearly accepted.</t>
  </si>
  <si>
    <t>~1 hour. Three questions, a paragraph each. Founder (adi) replies within a few days.</t>
  </si>
  <si>
    <t>Live in the villa for the full residency. Cohort 01 required all 31 days on site: "you live in the bangalore villa for the full 31 days... that is the point."</t>
  </si>
  <si>
    <t>https://forge.adihuman.ai/apply?cohort=2</t>
  </si>
  <si>
    <t>Entrepreneur First - US Fellowship Residency</t>
  </si>
  <si>
    <t>Equity-free grant. "we offer an equity free $10K grant and housing for three months."</t>
  </si>
  <si>
    <t>Designed for individuals. Explicitly for "exceptional individuals who aren't yet ready to commit full-time" or still exploring.</t>
  </si>
  <si>
    <t>Same EF application funnel; ~3-5 hours plus interviews. EF assigns you to the pathway that fits, so this may come out of a single application.</t>
  </si>
  <si>
    <t>San Francisco. Founder house and office both in SF; residency strongly encouraged though not mandatory.</t>
  </si>
  <si>
    <t>https://www.joinef.com/faqs/us/</t>
  </si>
  <si>
    <t>BITSoM VERTEX / Builders Pitch Fest 2026</t>
  </si>
  <si>
    <t>India / Mumbai</t>
  </si>
  <si>
    <t>Unresolved by design. FAQ: "Does BITSoM Vertex take equity? Details on equity, if any, will be shared with selected startups." Application itself is free: "Applying to BITSoM Vertex is free."</t>
  </si>
  <si>
    <t>Conditionally solo-friendly, and the condition is met. FAQ: "Can solo founders apply? All applicants must possess either Domain or Technical Expertise. If the founders bring domain knowledge, enrolling a technical co-founder or core technical team member before submission is mandatory." The founder is the technical builder, so no co-founder is required of him.</t>
  </si>
  <si>
    <t>Roughly 2-4 hours for the Stage 1 form on Hack2Skill. Free. No video or references stated on the portal. The real cost is the 5-week Online Venture Sprint (5 Aug - 6 Sep) and the mandatory 3-day Mumbai Pitch Fest.</t>
  </si>
  <si>
    <t>Hybrid, and the in-person leg is MANDATORY: "The Venture Sprint is online; the Pitch Fest (25 - 26 September) is in person in Mumbai; the 3-month incubation blends both." FAQ: "Is the Pitch Fest mandatory? Yes - shortlisted startups pitch in person at the Mumbai Pitch Fest, which determines selection into the incubator." Applications are invited from "Founders from across India".</t>
  </si>
  <si>
    <t>https://hack2skill.com/event/bitsom-pitchfest2026/</t>
  </si>
  <si>
    <t>Y Combinator ‚Äî Winter 2027 batch / Early Decision</t>
  </si>
  <si>
    <t>US ‚Äî San Francisco</t>
  </si>
  <si>
    <t>Standard YC deal; YC incorporates accepted companies into a Delaware C-corp as part of the deal</t>
  </si>
  <si>
    <t>YC funds solo founders but has publicly stated a preference for teams</t>
  </si>
  <si>
    <t>~4-6 hours including a founder video</t>
  </si>
  <si>
    <t>In-person at YC's San Francisco campus for the batch</t>
  </si>
  <si>
    <t>https://www.ycombinator.com/apply</t>
  </si>
  <si>
    <t>MassChallenge Switzerland Early-Stage Accelerator</t>
  </si>
  <si>
    <t>Switzerland</t>
  </si>
  <si>
    <t>Takes no equity in the companies it supports</t>
  </si>
  <si>
    <t>Startups need to travel and be present in Switzerland twice, for the Bootcamp and for Halftime activities - light-touch by the standards of this lane</t>
  </si>
  <si>
    <t>https://masschallenge.org/programs-switzerland/</t>
  </si>
  <si>
    <t>Science of Trustworthy AI RFP and Scaling AI Safety for a Multi-Agent World</t>
  </si>
  <si>
    <t>Reported open to "individual researchers, research teams, institutions, and multi-institution collaborations"</t>
  </si>
  <si>
    <t>Full research proposal - heavy</t>
  </si>
  <si>
    <t>Reported open globally; cross-geographic collaboration encouraged</t>
  </si>
  <si>
    <t>https://www.schmidtsciences.org/opportunity/2026-science-of-trustworthy-ai-rfp/</t>
  </si>
  <si>
    <t>AI Safety Fund</t>
  </si>
  <si>
    <t>Full research proposal</t>
  </si>
  <si>
    <t>None identified</t>
  </si>
  <si>
    <t>https://www.frontiermodelforum.org/ai-safety-fund/</t>
  </si>
  <si>
    <t>Startup World Cup</t>
  </si>
  <si>
    <t>Global, via 100+ regional qualifying events</t>
  </si>
  <si>
    <t>The grand prize is framed as an investment rather than a grant, so it is likely dilutive. This must be confirmed before it is treated as non-dilutive money.</t>
  </si>
  <si>
    <t>Unknown; varies by regional organiser</t>
  </si>
  <si>
    <t>Regional qualifier attendance, with the grand finale in San Francisco</t>
  </si>
  <si>
    <t>Global FinTech Hackcelerator 2026</t>
  </si>
  <si>
    <t>GLOBAL applicants ‚Äî finals in Singapore</t>
  </si>
  <si>
    <t>Free to apply; 'finalists will benefit from the full programme without equity dilution'</t>
  </si>
  <si>
    <t>~3-4 hours ‚Äî registration form, then pitch deck, written proposal and a short demo video</t>
  </si>
  <si>
    <t>Open to global applicants; attendance in Singapore mandatory for finalists during the programme week and Demo Day</t>
  </si>
  <si>
    <t>https://www.fintechfestival.sg/global-fintech-hackcelerator</t>
  </si>
  <si>
    <t>B2B Accelerator</t>
  </si>
  <si>
    <t>North America ‚Äî Toronto, NYC, San Francisco; remote-friendly</t>
  </si>
  <si>
    <t>~1 hour pitch form</t>
  </si>
  <si>
    <t>'We are happy to work with founders remotely, wherever they may reside' ‚Äî offices in three cities, visits encouraged</t>
  </si>
  <si>
    <t>https://www.forumvc.com/accelerator</t>
  </si>
  <si>
    <t>EIC Accelerator 2026 ‚Äî Open call (HORIZON-EIC-2026-ACCELERATOR-01)</t>
  </si>
  <si>
    <t>EU-level (EU Member States + Horizon Europe Associated Countries)</t>
  </si>
  <si>
    <t>Grant component is fully non-dilutive. Equity component is optional and can be declined (grant-only route).</t>
  </si>
  <si>
    <t>No published team-size rule. Work programme explicitly contemplates "one or more natural persons (including individual entrepreneurs)" as applicants, which accommodates a solo founder.</t>
  </si>
  <si>
    <t>High. Short proposal = 12-page form + pitch deck + video pitch. Full proposal = 20-page form. Realistically 40-80 hours for a first-time applicant. Video pitch is mandatory.</t>
  </si>
  <si>
    <t>Establishment in an EU Member State or Horizon Europe Associated Country is required at grant signature, NOT at short-proposal submission. India is a non-associated third country.</t>
  </si>
  <si>
    <t>null - no hard legal or eligibility wall found for submitting a short proposal.</t>
  </si>
  <si>
    <t>https://ec.europa.eu/info/funding-tenders/opportunities/portal/screen/opportunities/topic-details/HORIZON-EIC-2026-ACCELERATOR-01</t>
  </si>
  <si>
    <t>German Accelerator - Kickstart (Scaling Clarity and Global Expansion Strategy)</t>
  </si>
  <si>
    <t>Germany (next cohort in Marburg); the programmes target international expansion</t>
  </si>
  <si>
    <t>Pitch deck plus written answers on vision, market fit and current growth stage</t>
  </si>
  <si>
    <t>You need to be based in Germany. A German legal entity is described as beneficial but not required - EXIST-funded startups still forming a GmbH are explicitly welcome to apply.</t>
  </si>
  <si>
    <t>https://www.germanaccelerator.com/our-programs/kickstart</t>
  </si>
  <si>
    <t>Founders, Inc. (f.inc)</t>
  </si>
  <si>
    <t>San Francisco (Fort Mason campus), USA</t>
  </si>
  <si>
    <t>NOT STATED ON THE PAGE. Third parties say 4-10%; treat as unverified.</t>
  </si>
  <si>
    <t>Unverified - the form did not render in my session. Budget 1-3 hours.</t>
  </si>
  <si>
    <t>In-person on the San Francisco Fort Mason campus for the two-week trial</t>
  </si>
  <si>
    <t>https://f.inc/apply</t>
  </si>
  <si>
    <t>Renaissance Philanthropy - open fund and RFP portfolio</t>
  </si>
  <si>
    <t>Letter of intent first, then full proposal</t>
  </si>
  <si>
    <t>https://www.renaissancephilanthropy.org/funds</t>
  </si>
  <si>
    <t>Startup Highway (pre-acceleration and incubation)</t>
  </si>
  <si>
    <t>Lithuania (Vilnius, Kaunas, Klaipƒóda, Palanga)</t>
  </si>
  <si>
    <t>Non-equity accelerator.</t>
  </si>
  <si>
    <t>Contact-form led ('Drop us a line, and we'll find the best fit'). Low effort to start.</t>
  </si>
  <si>
    <t>HARD: 'Your company should be based in Central or Western Lithuania (Kaunas-Klaipƒóda).' Plus 'The company must have been established within the last five years.'</t>
  </si>
  <si>
    <t>Requires an existing company based specifically in Central or Western Lithuania (Kaunas-Klaipƒóda corridor) ‚Äî both an entity and a sub-national location gate.</t>
  </si>
  <si>
    <t>https://www.rockitvilnius.com/startups</t>
  </si>
  <si>
    <t>Techstars Founder Catalyst</t>
  </si>
  <si>
    <t>Varies by cohort. Currently-open cohorts restricted to Istanbul, Sarajevo, Omaha, Uzbekistan, Belfast, and Alabama/US.</t>
  </si>
  <si>
    <t>Zero. "There is no equity exchange in Founder Catalyst programs" and "This is your entry point into the Techstars network without giving up equity, relocating, or paying a cent."</t>
  </si>
  <si>
    <t>Explicitly welcomes solo. "This program is sector-agnostic and open to both solo founders and founding teams."</t>
  </si>
  <si>
    <t>~2-3 hours. 8-12 hours per week commitment if accepted.</t>
  </si>
  <si>
    <t>100% virtual for the Global programme - "no relocation or travel required." But eligibility is geographically gated to named partner communities.</t>
  </si>
  <si>
    <t>Geographic eligibility. The Global Fall 2026 page states "Must be currently building in or from Omaha, Sarajevo, Istanbul, Uzbekistan, or Belfast" - Bangalore is not on the list. This is a genuine eligibility wall for the currently-open cohorts, not a preference.</t>
  </si>
  <si>
    <t>https://www.techstars.com/founder-catalyst</t>
  </si>
  <si>
    <t>Techstars Tokyo Accelerator</t>
  </si>
  <si>
    <t>Japan / Tokyo</t>
  </si>
  <si>
    <t>Techstars takes "5% of the company in common stock plus the future value of the $100,000 uncapped MFN Safe." Phase 1 had no terms at all for this programme.</t>
  </si>
  <si>
    <t>Not stated on the Tokyo page.</t>
  </si>
  <si>
    <t>Techstars standard application, behind the account gate. Effort not assessable without registering.</t>
  </si>
  <si>
    <t>Three-month programme in Tokyo, explicitly open to "startups from Japan and abroad". This is the crucial contrast with JETRO GSAP, which requires the company to be located in Japan - Techstars Tokyo does not.</t>
  </si>
  <si>
    <t>100X.VC</t>
  </si>
  <si>
    <t>India</t>
  </si>
  <si>
    <t>"iSAFE note for 15% of Future Equity." Fifteen percent for Rs 1.25cr is expensive - the worst terms-per-dollar of any equity programme in this lane except Startmate.</t>
  </si>
  <si>
    <t>Not stated. No team-size condition published. They look for founders "building their startup from India" and dedicated full-time.</t>
  </si>
  <si>
    <t>Online JotForm, initial screening call within 7-10 working days, then an in-person interview in Mumbai. No video or references stated.</t>
  </si>
  <si>
    <t>"The program is designed for founders building their startup from India and looking to raise their first cheque" and "Startups can be from across stages, and based out of anywhere in the country". A 6-week in-person HomeRun Masterclass Series in Mumbai.</t>
  </si>
  <si>
    <t>https://form.jotform.com/100xvc/100xvc-startup-application</t>
  </si>
  <si>
    <t>Shuttleworth Foundation Fellowship</t>
  </si>
  <si>
    <t>Non-dilutive; fellowship plus matched project funding, no equity</t>
  </si>
  <si>
    <t>Fellowships are awarded to individuals - the model is explicitly one person with one idea</t>
  </si>
  <si>
    <t>~4-8 hours. Requires a completed form, a 5-minute video, and a resume.</t>
  </si>
  <si>
    <t>None stated; fellows work from anywhere</t>
  </si>
  <si>
    <t>https://www.shuttleworthfoundation.org/funding/fellowship-programme/</t>
  </si>
  <si>
    <t>Neon Startup Program</t>
  </si>
  <si>
    <t>~10 min. Asks name, company email, company website, primary investor or accelerator.</t>
  </si>
  <si>
    <t>https://neon.com/startups</t>
  </si>
  <si>
    <t>Orange DAO Fellowship</t>
  </si>
  <si>
    <t>Global applicants; hybrid with in-person weeks in San Francisco</t>
  </si>
  <si>
    <t>"Fellows receive a $100K uncapped (MFN) SAFE investment. There is a separate program/advisory fee of 2%, which falls under a separate agreement from the SAFE."</t>
  </si>
  <si>
    <t>Explicitly accepts solo. FAQ: "Yes, we accept solo founders."</t>
  </si>
  <si>
    <t>~3-4 hours. Response within a month, then 1-2 short interviews.</t>
  </si>
  <si>
    <t>One founder must attend the IRL sessions in San Francisco and pitch at Demo Day.</t>
  </si>
  <si>
    <t>https://tally.so/r/n0ZAyN</t>
  </si>
  <si>
    <t>Startmate Accelerator (Summer 2027 cohort)</t>
  </si>
  <si>
    <t>Australia and New Zealand</t>
  </si>
  <si>
    <t>AUD $120,000 at AUD $1.5m post-money for founders who have not previously raised - 8% for roughly USD $78k, the harshest valuation of any programme in this lane. Founders who have raised are matched to their prior round's terms and must have raised AUD $250,000+.</t>
  </si>
  <si>
    <t>No solo bar found on any Startmate page I read. The only team condition surfaced is that "one cofounder must be full-time", which a solo founder satisfies by definition. Startmate's FAQ is unusually welcoming on stage: "You can be pre-product, pre-customers, pre-revenue - we're here for it." That is the most explicitly zero-traction-friendly language in the entire sweep and it maps directly onto Supaprod's weakest point.</t>
  </si>
  <si>
    <t>Roughly 2 hours of founder time plus video production. Stage 1 is "online application + 90sec video (~1h)"; Stage 2 is a 1-hour in-depth interview. A 90-SECOND FOUNDER VIDEO IS MANDATORY - one of only three programmes in this lane to require one, alongside ikigai and JETRO.</t>
  </si>
  <si>
    <t>Hybrid, joinable from anywhere in Australia or New Zealand, with three in-person weeks (week 0, mid-programme, Demo Day). The misconceptions page muddies this by saying founders can participate from anywhere in the world.</t>
  </si>
  <si>
    <t>UNRESOLVED, not confirmed - and deliberately not recorded as a blocker. Phase 1 flagged a probable ANZ-tie rule. I read the Accelerator programme page, /accelerator, the Accelerator FAQ article and the frequent-questions-and-misconceptions article, and NONE publishes an ANZ residency or connection requirement. What they say is looser: "a hybrid program that you can join from anywhere in Australia or New Zealand", "it's a remote-first program so founders can participate from anywhere in Australia or New Zealand", and in the misconceptions piece, participants "can participate from anywhere in the world" with the programme merely "especially time-zone friendly to Australia and New Zealand". A site-scoped search of startmate.com surfaced a claim that at least one founder must be based in ANZ, but I could not quote that from any page I actually opened, so I will not record it as fact. Settle it from the application form or by emailing hello@startmate.com.au before ranking.</t>
  </si>
  <si>
    <t>https://www.startmate.com/accelerator/program</t>
  </si>
  <si>
    <t>NVIDIA Inception</t>
  </si>
  <si>
    <t>Global (US-headquartered)</t>
  </si>
  <si>
    <t>"Inception is free. The program doesn't have application fees, membership fees, or equity requirements." Fully non-dilutive.</t>
  </si>
  <si>
    <t>Not stated; membership is company-level</t>
  </si>
  <si>
    <t>Under 1 hour. Membership form at programs.nvidia.com/phoenix/application requiring business details and a pitch deck.</t>
  </si>
  <si>
    <t>None stated - global</t>
  </si>
  <si>
    <t>https://programs.nvidia.com/phoenix/application</t>
  </si>
  <si>
    <t>StartupLab Accelerator</t>
  </si>
  <si>
    <t>Norway (Oslo)</t>
  </si>
  <si>
    <t>Targeted ownership around 10%, described as flexible.</t>
  </si>
  <si>
    <t>UNRESOLVED ‚Äî the FAQ literally lists the question 'Do you accept solo founders?' but the answer did not render in the fetch. Worth a direct email in phase 2; the fact that they publish the question at all suggests it is not an automatic no.</t>
  </si>
  <si>
    <t>Online form; they shortlist ~30 companies for interview. Est. 4-6 hours.</t>
  </si>
  <si>
    <t>Oslo. Norwegian incorporation requirement not stated on the page; note that Innovation Norway separately allows a Norwegian branch of a foreign company (NUF).</t>
  </si>
  <si>
    <t>https://www.startuplab.no/apply/accelerator</t>
  </si>
  <si>
    <t>NatWest Accelerator</t>
  </si>
  <si>
    <t>UK ‚Äî 12 locations plus online</t>
  </si>
  <si>
    <t>None ‚Äî "The programme is free for participating businesses and entrepreneurs do not need to give up any equity in their business to take part."</t>
  </si>
  <si>
    <t>No bar stated.</t>
  </si>
  <si>
    <t>Low for the community; the Pitch competition needs a 60-second video.</t>
  </si>
  <si>
    <t>UK business. 12 UK hub locations plus online delivery.</t>
  </si>
  <si>
    <t>https://www.natwest.com/business/business-services/entrepreneur-accelerator.html</t>
  </si>
  <si>
    <t>Founder Institute - Silicon Valley Fall 2026 (FI Agentic Program)</t>
  </si>
  <si>
    <t>Silicon Valley, USA - run 100% online</t>
  </si>
  <si>
    <t>Entrance fee $1,199 early (from $1,649). Founder Institute historically takes a warrant; equity terms not stated on this page.</t>
  </si>
  <si>
    <t>OPC directory records 'Solo ‚úì'. Page lists eligible applicants from 'Entrepreneur with just an idea/Aspiring Entrepreneur' through 'Later-Stage Entrepreneur (Seed+)'.</t>
  </si>
  <si>
    <t>Short form. Budget under 1h.</t>
  </si>
  <si>
    <t>None. Page states 'Fully Virtual' and 'This program will be run 100% online'.</t>
  </si>
  <si>
    <t>https://fi.co/join</t>
  </si>
  <si>
    <t>AWS Activate Credits (Founders / Portfolio / AI tier)</t>
  </si>
  <si>
    <t>Non-dilutive, no equity</t>
  </si>
  <si>
    <t>~30-45 min. No video, no references. Needs AWS Builder ID + an AWS account on a paid support tier.</t>
  </si>
  <si>
    <t>https://aws.amazon.com/startups/credits/</t>
  </si>
  <si>
    <t>Plug and Play Tech Center</t>
  </si>
  <si>
    <t>Sunnyvale, California and 60+ global locations including India</t>
  </si>
  <si>
    <t>Not published; many corporate-innovation tracks are historically equity-free</t>
  </si>
  <si>
    <t>Under 1 hour. A short multi-step contact form with a startup path. No video or references.</t>
  </si>
  <si>
    <t>Varies. Silicon Valley HQ plus offices worldwide including India, which sidesteps relocation entirely.</t>
  </si>
  <si>
    <t>https://www.plugandplaytechcenter.com/contact</t>
  </si>
  <si>
    <t>APX</t>
  </si>
  <si>
    <t>Berlin, Germany</t>
  </si>
  <si>
    <t>5% for the initial ticket</t>
  </si>
  <si>
    <t>Pitch submission. Unverified.</t>
  </si>
  <si>
    <t>Berlin-based programme</t>
  </si>
  <si>
    <t>https://apx.vc/looking-for-funding</t>
  </si>
  <si>
    <t>Soma Fellows</t>
  </si>
  <si>
    <t>Global / remote (US-based fund)</t>
  </si>
  <si>
    <t>Uncapped - no percentage stated</t>
  </si>
  <si>
    <t>Under 1 hour estimated; the form is short.</t>
  </si>
  <si>
    <t>None stated. Office space offered in SF or NY but not mandated.</t>
  </si>
  <si>
    <t>https://programs.somacap.com/fellows</t>
  </si>
  <si>
    <t>Founders Foundation Startup School</t>
  </si>
  <si>
    <t>Germany (Bielefeld, Ostwestfalen-Lippe)</t>
  </si>
  <si>
    <t>The page states costs of 0 EUR, and the organisation's stated principle is no equity, people first</t>
  </si>
  <si>
    <t>Explicitly open to individuals: single talents with an entrepreneurial mindset are listed as a target alongside teams, and the programme is aimed partly at people still looking for co-founders</t>
  </si>
  <si>
    <t>Short online form covering motivation, background and any business idea, then an online motivation conversation. No video, no references.</t>
  </si>
  <si>
    <t>Hybrid - most sessions online, with the kick-off and final Pitch Day in person in Bielefeld</t>
  </si>
  <si>
    <t>https://foundersfoundation.de/gruenden-in-owl/startup-school/</t>
  </si>
  <si>
    <t>Techstars (Fall 2026 / Spring 2027 programmes, incl. Techstars Anywhere)</t>
  </si>
  <si>
    <t>Global - 40+ programmes across multiple cities, plus the remote-first Anywhere programme</t>
  </si>
  <si>
    <t>5% common equity plus a $200K SAFE</t>
  </si>
  <si>
    <t>OPC directory records 'Solo ‚úì'. Techstars has historically funded solo founders but managing directors commonly prefer teams.</t>
  </si>
  <si>
    <t>Substantial form plus video. Budget 6-8h, and it is reusable across multiple Techstars programmes in one submission.</t>
  </si>
  <si>
    <t>Varies by programme. The Techstars Anywhere programme is remote-first with three in-person meetups, and is the relevant one given no relocation is required.</t>
  </si>
  <si>
    <t>Surge by Peak XV</t>
  </si>
  <si>
    <t>India and Southeast Asia</t>
  </si>
  <si>
    <t>Seed equity. Percentage and valuation not published anywhere on the site.</t>
  </si>
  <si>
    <t>The form treats co-founders as mandatory at the field level: Q11, "Please fill out your other co-founders' 1) Name 2) email address 3) contact number 4) LinkedIn URL 5) city they are located in", is a REQUIRED textarea. Being free text rather than a picker, it will almost certainly accept an honest "solo founder, no co-founders" answer - a required textarea cannot validate meaning. That is a reasonable inference, not a verified submission.</t>
  </si>
  <si>
    <t>Several hours. Twenty-one questions, thirteen of them required, including free-text answers on problem, differentiation and team fit. No video required. References are OPTIONAL (Q20). A required traction-metrics field (Q18) is the awkward one given zero external users.</t>
  </si>
  <si>
    <t>CORRECTED FROM PHASE 1: the 8-week Immersion is in SAN FRANCISCO, not Bangalore. Surge's own FAQ: "The Immersion takes place in San Francisco" and it "concludes with visits to iconic companies in San Francisco." Phase 1 recorded eight weeks in Bangalore, which is wrong.</t>
  </si>
  <si>
    <t>https://surge.peakxv.com/apply</t>
  </si>
  <si>
    <t>Databricks for Startups</t>
  </si>
  <si>
    <t>~20 min form</t>
  </si>
  <si>
    <t>https://sites.google.com/databricks.com/startup-program-apply</t>
  </si>
  <si>
    <t>NOVO Agrifoodtech</t>
  </si>
  <si>
    <t>Europe ‚Äî Bilbao, Spain; international startups</t>
  </si>
  <si>
    <t>'Participation is 100% equity-free.'</t>
  </si>
  <si>
    <t>Not established</t>
  </si>
  <si>
    <t>Hybrid ‚Äî online mentoring plus two in-person bootcamps in Bilbao; ten international startups selected</t>
  </si>
  <si>
    <t>https://novoagrifoodtech.com/</t>
  </si>
  <si>
    <t>Member Residency</t>
  </si>
  <si>
    <t>US/India ‚Äî San Francisco, New York City, Bengaluru</t>
  </si>
  <si>
    <t>founder community</t>
  </si>
  <si>
    <t>No cost and no equity</t>
  </si>
  <si>
    <t>Individual-based programme; solo is the default unit</t>
  </si>
  <si>
    <t>~1-2 hours</t>
  </si>
  <si>
    <t>Offices in SF (380 Brannan St), NYC and Bengaluru ‚Äî the Bengaluru office matters here</t>
  </si>
  <si>
    <t>https://www.southparkcommons.com/apply</t>
  </si>
  <si>
    <t>Slush Startup Stage</t>
  </si>
  <si>
    <t>None.</t>
  </si>
  <si>
    <t>Typeform, likely 1-2 hours.</t>
  </si>
  <si>
    <t>Helsinki attendance for the slot.</t>
  </si>
  <si>
    <t>https://slush.typeform.com/to/ZZtRWeVd</t>
  </si>
  <si>
    <t>Edge City India 2026 (Goa)</t>
  </si>
  <si>
    <t>India (Mandrem, North Goa)</t>
  </si>
  <si>
    <t>No equity. Ticket purchase required after acceptance; Indian citizens receive a discount. Scholarship option available - select scholarship in the application and submit a 60-second video.</t>
  </si>
  <si>
    <t>Not a founder-selection programme; individuals attend and many come solo.</t>
  </si>
  <si>
    <t>~30-60 minutes for the attend application; the scholarship route adds a 60-second video.</t>
  </si>
  <si>
    <t>Mandrem, North Goa, India. Founder is Bangalore-based - domestic travel only.</t>
  </si>
  <si>
    <t>https://www.edgecity.live/india26</t>
  </si>
  <si>
    <t>ODF28 (On Deck Founder Fellowship)</t>
  </si>
  <si>
    <t>San Francisco, USA (applicants worldwide)</t>
  </si>
  <si>
    <t>"This is a non-dilutive program" - zero equity</t>
  </si>
  <si>
    <t>Solo-friendly by design - over half of ODF companies met their co-founder there. Eligibility is individual: "a track record of shipping impressive things" and "100% committed (or soon committing) to starting a company".</t>
  </si>
  <si>
    <t>1-2 hours. Short Fillout form, then an OPTIONAL async video, then interview, with decision in approximately 36 hours. No references required.</t>
  </si>
  <si>
    <t>One week in person in San Francisco; alumni community afterwards. "Visa letters available for the onboarding week."</t>
  </si>
  <si>
    <t>Boost VC</t>
  </si>
  <si>
    <t>San Mateo, California, USA</t>
  </si>
  <si>
    <t>Under 1 hour - a pitch submission.</t>
  </si>
  <si>
    <t>Not stated on the current page. Historically an in-person San Mateo tribe.</t>
  </si>
  <si>
    <t>https://www.boost.vc/apply</t>
  </si>
  <si>
    <t>AI Futures Fund</t>
  </si>
  <si>
    <t>The core offer (model access, credits, hands-on Google DeepMind and Google Labs support) is non-dilutive. Equity investment is separately opt-in.</t>
  </si>
  <si>
    <t>~1-2 hours, single Google Form. No video or references stated.</t>
  </si>
  <si>
    <t>None stated. A Brazil-specific partnership with Monashees exists separately.</t>
  </si>
  <si>
    <t>Zinc ‚Äî Pre-Seed Investment</t>
  </si>
  <si>
    <t>No solo bar stated. The page says they seek ventures with "a strong founding team" ‚Äî a preference, not a rule.</t>
  </si>
  <si>
    <t>~1‚Äì2h: pitch deck submission via Airtable.</t>
  </si>
  <si>
    <t>"Zinc backs exceptional entrepreneurs starting and building Science-for-Impact ventures in the UK." UK-building is stated; UK incorporation is not.</t>
  </si>
  <si>
    <t>https://airtable.com/appTvgH4eAXwSD2Vs/pagxU4iWkcj9vJrWj/form</t>
  </si>
  <si>
    <t>AI for Science &amp; Safety Nodes grants</t>
  </si>
  <si>
    <t>Not stated on the index page; Foresight routinely funds individuals</t>
  </si>
  <si>
    <t>Unknown - form not opened during discovery</t>
  </si>
  <si>
    <t>https://foresight.org/grants/grants-ai-for-science-safety/</t>
  </si>
  <si>
    <t>Deepgram Startup Program</t>
  </si>
  <si>
    <t>No team-size requirement</t>
  </si>
  <si>
    <t>~20 min. Requires a Deepgram console account and Project ID first.</t>
  </si>
  <si>
    <t>https://deepgram.com/startup-program</t>
  </si>
  <si>
    <t>Tier 3</t>
  </si>
  <si>
    <t>Entrepreneur First (The Bridge / global cohorts)</t>
  </si>
  <si>
    <t>London, San Francisco, Bangalore, Paris and other hubs</t>
  </si>
  <si>
    <t>~8-10%</t>
  </si>
  <si>
    <t>EF recruits individuals, not companies - the entire model is built around admitting solo talent and forming teams during the programme</t>
  </si>
  <si>
    <t>Multi-stage with interviews. Budget 4-6h for the written stage.</t>
  </si>
  <si>
    <t>In-person at the chosen hub; EF runs a Bangalore hub</t>
  </si>
  <si>
    <t>apply-later</t>
  </si>
  <si>
    <t>Build Club</t>
  </si>
  <si>
    <t>Global - chapters in Sydney, Melbourne, Brisbane, Perth, Adelaide, Canberra, Gold Coast, San Francisco, UK, Italy, Singapore, Malaysia, Nepal, Sri Lanka, Jakarta, Bali, Korea, South Africa</t>
  </si>
  <si>
    <t>Free. "Free AI Learning Ecosystem for All."</t>
  </si>
  <si>
    <t>Explicitly solo-friendly - one of the four named audiences is "Solopreneurs", and the Melbourne residency was described as designed "to empower solo founders as they embark on ambitious AI projects".</t>
  </si>
  <si>
    <t>Minutes for the free campus; a short form for a residency.</t>
  </si>
  <si>
    <t>None for the online campus. Residencies are city-specific (Sydney, Melbourne).</t>
  </si>
  <si>
    <t>https://campus.buildclub.ai/</t>
  </si>
  <si>
    <t>Low expected value. Revisit after public launch changes the traction answer.</t>
  </si>
  <si>
    <t>Antler Singapore Inception SG21</t>
  </si>
  <si>
    <t>Singapore</t>
  </si>
  <si>
    <t>$150,000 for 10% plus an uncapped SAFE. A $1M effective post-money on the equity leg - expensive; the cleanest comparison in this lane is Iterative at $150k-$500k for 10-15%.</t>
  </si>
  <si>
    <t>No published solo bar on the Singapore page, which distinguishes it sharply from Antler Australia ("We don't invest in solo founders") and Antler MENAP ("we typically do not invest in solo founders after the program"). SG21 targets founders who "have an idea and be actively working on it" and can "clearly explain: The problem you are committed to solving, Who the ideal customer is, What you have tested so far." If an Antler city is filed, this is the one.</t>
  </si>
  <si>
    <t>Roughly 2-3 hours end to end. AI-guided conversational application (~30 min), then a 15-minute screening call, then a virtual partner call. A PITCH DECK IS A HARD REQUIREMENT: "A pitch deck is required during your application process. Prepare your deck in a PDF format (under 20MB)". No video required.</t>
  </si>
  <si>
    <t>Six weeks full-time in person in Singapore from 5 October 2026. Founders self-fund travel and living. No fee to participate.</t>
  </si>
  <si>
    <t>https://www.antler.co/location/singapore</t>
  </si>
  <si>
    <t>Upsurge Grants</t>
  </si>
  <si>
    <t>'No equity.'</t>
  </si>
  <si>
    <t>Explicitly welcomes solo: 'If you're solo, indie, maybe working out of your bedroom; perfect.'</t>
  </si>
  <si>
    <t>Under 1 hour</t>
  </si>
  <si>
    <t>https://grants.upsurge.io/</t>
  </si>
  <si>
    <t>Sharjah Startup Studio (S3)</t>
  </si>
  <si>
    <t>UAE / Sharjah</t>
  </si>
  <si>
    <t>"Participate in an equity-free program with no participation charges."</t>
  </si>
  <si>
    <t>Not assessable while the page shows a stale cycle.</t>
  </si>
  <si>
    <t>Sharjah, UAE. Eligibility requires being "Committed to operating and expanding within Sharjah and across the UAE", and on attendance: "we require your presence in the UAE for essential parts of the program, including the onboarding session, demo days, and showcase opportunities."</t>
  </si>
  <si>
    <t>https://www.asc.sheraa.ae/s3-program</t>
  </si>
  <si>
    <t>PostHog for Startups</t>
  </si>
  <si>
    <t>No team-size requirement published; third parties report pre-seed to Series A worldwide</t>
  </si>
  <si>
    <t>~15 min. Requires a PostHog account first.</t>
  </si>
  <si>
    <t>https://posthog.com/startups/apply</t>
  </si>
  <si>
    <t>Alchemist Chicago</t>
  </si>
  <si>
    <t>Chicago, USA</t>
  </si>
  <si>
    <t>Not separately stated; flagship reference is ~5%</t>
  </si>
  <si>
    <t>Same as flagship - solo accepted, "the bar for solo founders is significantly higher"</t>
  </si>
  <si>
    <t>ZERO MARGINAL EFFORT - it is one extra checkbox on the flagship application already being filed.</t>
  </si>
  <si>
    <t>Chicago, in partnership with the Polsky Center for Entrepreneurship and Innovation (University of Chicago)</t>
  </si>
  <si>
    <t>AI House (formerly AI2 Incubator)</t>
  </si>
  <si>
    <t>Seattle, USA</t>
  </si>
  <si>
    <t>Not stated on the page; aggregators cite roughly 5-15%</t>
  </si>
  <si>
    <t>OPC directory records 'Solo ‚úì'; not stated on the page</t>
  </si>
  <si>
    <t>Seattle-based</t>
  </si>
  <si>
    <t>https://apply.ai2incubator.com/</t>
  </si>
  <si>
    <t>AceON Accelerator Batch #6</t>
  </si>
  <si>
    <t>Europe ‚Äî CEE-based, fully online</t>
  </si>
  <si>
    <t>Free programme; investment terms not published</t>
  </si>
  <si>
    <t>Not addressed; industry-agnostic and accepts idea-stage</t>
  </si>
  <si>
    <t>~1 hour online application</t>
  </si>
  <si>
    <t>'Fully online, with evening lectures' ‚Äî no relocation</t>
  </si>
  <si>
    <t>https://www.aceon.io/program</t>
  </si>
  <si>
    <t>Founder Institute ‚Äî Nordics Fall 2026</t>
  </si>
  <si>
    <t>Nordics (Stockholm-led, hybrid)</t>
  </si>
  <si>
    <t>Paid: 'Early Entrance Fee $799' (regular $1299). FI historically also takes a small equity/warrant stake ‚Äî verify in phase 2.</t>
  </si>
  <si>
    <t>Built for individual founders; the form's stage options run from 'Entrepreneur with just an idea/Aspiring Entrepreneur' upward.</t>
  </si>
  <si>
    <t>~1-2 hours.</t>
  </si>
  <si>
    <t>Hybrid, Nordics-based sessions. Verify whether the in-person requirement can be met remotely from Bangalore.</t>
  </si>
  <si>
    <t>Stripe Atlas</t>
  </si>
  <si>
    <t>Global (Delaware incorporation, founders in 140+ countries)</t>
  </si>
  <si>
    <t>Solo founders are a core Atlas use case</t>
  </si>
  <si>
    <t>~1 hour. Delaware C-corp formation, EIN handling, registered agent, 83(b) filing.</t>
  </si>
  <si>
    <t>'Startups in over 140 countries have chosen Atlas to start their business' - India-resident founders are served</t>
  </si>
  <si>
    <t>https://dashboard.stripe.com/register/atlas</t>
  </si>
  <si>
    <t>Founders Pledge</t>
  </si>
  <si>
    <t>Global - 2,200+ members across 45-49 countries</t>
  </si>
  <si>
    <t>No equity taken and no membership fees. The commitment runs the other way: you pledge a meaningful percentage, minimum 5%, of your personal proceeds on liquidity, or of current wealth if already liquid.</t>
  </si>
  <si>
    <t>Not gated</t>
  </si>
  <si>
    <t>Minutes to pledge; the commitment itself is the substantive decision.</t>
  </si>
  <si>
    <t>None. Global community with flagship bi-annual events plus dinners and meet-ups worldwide.</t>
  </si>
  <si>
    <t>https://www.founderspledge.com/why-join</t>
  </si>
  <si>
    <t>DigitalOcean Hatch</t>
  </si>
  <si>
    <t>~20 min Typeform. No video. Needs a company website and a matching company email address, plus a registered DigitalOcean team account on a business email.</t>
  </si>
  <si>
    <t>https://sammydigitalocean.typeform.com/to/tZXAmt</t>
  </si>
  <si>
    <t>Microsoft for Startups Founders Hub</t>
  </si>
  <si>
    <t>Reported as open to bootstrapped startups, solo founders and pre-revenue companies with no VC backing or accelerator membership needed - verify against the live form</t>
  </si>
  <si>
    <t>~30 min self-serve. No video, no references.</t>
  </si>
  <si>
    <t>https://www.microsoft.com/en-us/startups</t>
  </si>
  <si>
    <t>Soma Capital Fellowship</t>
  </si>
  <si>
    <t>Remote, global</t>
  </si>
  <si>
    <t>Reported 0% / uncapped SAFE</t>
  </si>
  <si>
    <t>Remote</t>
  </si>
  <si>
    <t>Startup Qatar Investment Program</t>
  </si>
  <si>
    <t>Equity taken, and the published range is unusually wide: "TAKES 5-50% equity". A 50% ceiling is far outside normal accelerator terms and must be pinned down before filing.</t>
  </si>
  <si>
    <t>Not stated as a bar. The form asks how many technical employees are on the team, which a solo technical founder answers as one.</t>
  </si>
  <si>
    <t>F6S form, effort moderate. IMPORTANT operational note: F6S reverts anything set programmatically and only accepts what it watched a human type, so this form must be filled by hand rather than automated.</t>
  </si>
  <si>
    <t>Qatar. The START track targets startups "launching in Qatar" and the GROW track those "expanding to Qatar". Registration and licence renewal cost waivers, flexible work and entrepreneur visa issuance, and subsidised housing are all offered, which implies establishing in Qatar is the point rather than a precondition.</t>
  </si>
  <si>
    <t>https://www.f6s.com/sqinvestmentprogram</t>
  </si>
  <si>
    <t>Techstars London Accelerator (Fall 2026)</t>
  </si>
  <si>
    <t>UK ‚Äî London</t>
  </si>
  <si>
    <t>~6% (aggregator).</t>
  </si>
  <si>
    <t>No published solo bar; prefers teams in practice. Not stated on the London pages.</t>
  </si>
  <si>
    <t>~4‚Äì6h. Techstars' form is long and asks for a founder video.</t>
  </si>
  <si>
    <t>13-week in-person programme in London.</t>
  </si>
  <si>
    <t>Claude for Startups</t>
  </si>
  <si>
    <t>Global (US-headquartered); community meetups in six cities</t>
  </si>
  <si>
    <t>Not stated - eligibility is company-level</t>
  </si>
  <si>
    <t>Approximately two minutes for the community route. Requires a Claude Console account (the API console, not the chat app) and a company email address.</t>
  </si>
  <si>
    <t>None; in-person community events in six cities</t>
  </si>
  <si>
    <t>https://claude.com/programs/startups</t>
  </si>
  <si>
    <t>AWS Generative AI Accelerator (GAIA)</t>
  </si>
  <si>
    <t>Global, hybrid, culminating in Las Vegas, USA</t>
  </si>
  <si>
    <t>Non-dilutive - AWS takes no equity</t>
  </si>
  <si>
    <t>Not determinable while the cycle status is unresolved</t>
  </si>
  <si>
    <t>NO GEOGRAPHIC BAR - THE KEY PHASE 1 UNKNOWN IS NOW ANSWERED. Verbatim FAQ: "This is a global program and we accept applications from companies from most countries around the world." Hybrid and global; final week in person at AWS re:Invent, Las Vegas.</t>
  </si>
  <si>
    <t>https://startups.aws.com/programs/generative-ai</t>
  </si>
  <si>
    <t>MongoDB for Startups</t>
  </si>
  <si>
    <t>~20 min. Needs an active company website and LinkedIn profile.</t>
  </si>
  <si>
    <t>https://www.mongodb.com/solutions/startups</t>
  </si>
  <si>
    <t>OVHcloud Startup Program</t>
  </si>
  <si>
    <t>Europe-first, global availability</t>
  </si>
  <si>
    <t>Non-dilutive, 'zero equity taken'</t>
  </si>
  <si>
    <t>Not stated on the landing page</t>
  </si>
  <si>
    <t>~30 min. Account creation required at startup.ovhcloud.com/en/login/</t>
  </si>
  <si>
    <t>None stated - 'thousands of startups and scaleups from across the globe' participate; EU data residency is the selling point</t>
  </si>
  <si>
    <t>https://startup.ovhcloud.com/en/login/</t>
  </si>
  <si>
    <t>Accel Atoms</t>
  </si>
  <si>
    <t>India-origin founders building from anywhere (global)</t>
  </si>
  <si>
    <t>not stated on page</t>
  </si>
  <si>
    <t>Unverified - apply portal returned 403 to fetch, needs a browser</t>
  </si>
  <si>
    <t>'Indian &amp; Indian-origin founders building from anywhere' - the phrasing points to founder origin, not company domicile</t>
  </si>
  <si>
    <t>none identified, but see notes - an Indian-entity requirement would be one</t>
  </si>
  <si>
    <t>https://apply.accel-atoms.com/</t>
  </si>
  <si>
    <t>a16z Speedrun (SR008)</t>
  </si>
  <si>
    <t>10% for the first $500K, on a SAFE - confirmed on the a16z FAQ</t>
  </si>
  <si>
    <t>Solo applicants welcomed with a stated preference against. FAQ: the programme welcomes solo applicants, though "we generally prefer teams with multiple founders who bring complementary skill sets." A preference, not a bar.</t>
  </si>
  <si>
    <t>3-5 hours. The form starts behind an email gate. FAQ confirms a video is NOT required up front: after initial review, applicants "submit a brief video pitch or schedule a 15-minute interview" - the video is a second-stage artefact with an interview alternative. No references required. "Our team reviews applications on a rolling basis, usually within 4-6 weeks."</t>
  </si>
  <si>
    <t>HARD IN-PERSON REQUIREMENT, CONFIRMED ON FAQ: the programme is "IRL in San Francisco" and "in-person attendance is required". Founders must "be able to attend on site in San Francisco" for the 12 weeks.</t>
  </si>
  <si>
    <t>Startup School</t>
  </si>
  <si>
    <t>"There is no application, no equity, no cost"</t>
  </si>
  <si>
    <t>Open to anyone including solo and aspiring founders; co-founder matching is offered as a feature</t>
  </si>
  <si>
    <t>None - signup only</t>
  </si>
  <si>
    <t>None - fully online</t>
  </si>
  <si>
    <t>https://www.startupschool.org/</t>
  </si>
  <si>
    <t>XPRIZE open competitions</t>
  </si>
  <si>
    <t>Non-dilutive prize money</t>
  </si>
  <si>
    <t>Team-based competitions. Solo entry is unusual but not barred.</t>
  </si>
  <si>
    <t>Very high. These are multi-year technical competitions.</t>
  </si>
  <si>
    <t>https://www.xprize.org/prizes</t>
  </si>
  <si>
    <t>Upekkha ‚Äî next cohort</t>
  </si>
  <si>
    <t>India (with an SF immersion week); accepts global applicants</t>
  </si>
  <si>
    <t>2‚Äì4% baseline equity, plus a milestone success fee payable in equity or cash</t>
  </si>
  <si>
    <t>Not explicitly addressed</t>
  </si>
  <si>
    <t>Not explicitly gated; SF immersion week</t>
  </si>
  <si>
    <t>https://airtable.com/appFjp1F5EUvmDXNK/shrlaGyNjywEheAO8</t>
  </si>
  <si>
    <t>The Network School</t>
  </si>
  <si>
    <t>Malaysia (Forest City, near Singapore)</t>
  </si>
  <si>
    <t>No equity. Rent is $1,000/month with roommates or $2,000/month solo, plus flights and food. Daily and weekly rates available.</t>
  </si>
  <si>
    <t>Individuals apply. Explicitly welcomes "Founders, engineers, designers, and investors" as one of three target groups.</t>
  </si>
  <si>
    <t>~30-60 minutes. Short application, no interview for standard membership. Decision in 1-2 weeks.</t>
  </si>
  <si>
    <t>Forest City, Malaysia. Most nationalities get 90 days visa-free entry to Malaysia; nearest airports are Singapore Changi and Senai (JHB).</t>
  </si>
  <si>
    <t>https://ns.com/apply</t>
  </si>
  <si>
    <t>AI-BOOST ‚Äî AI Challenge Competition (Challenges 1-4)</t>
  </si>
  <si>
    <t>EU Member States, Overseas Countries and Territories, and Horizon Europe Associated Countries</t>
  </si>
  <si>
    <t>Prize money, fully non-dilutive.</t>
  </si>
  <si>
    <t>Explicitly open to individuals: "Applications may be submitted by individuals, single legal entities, or teams/consortia from academia and industry." A solo founder is expressly contemplated.</t>
  </si>
  <si>
    <t>Low for Spark Phase ‚Äî a concept note, perhaps 10-20 hours. Advance Phase is a five-month build commitment.</t>
  </si>
  <si>
    <t>Applicants must be established in an EU Member State, Overseas Countries and Territories, or eligible Associated Countries. Projects must be civil-application only.</t>
  </si>
  <si>
    <t>Scope, not eligibility. All four challenges are narrow and owner-defined: GenAI natural-language mission generator for agricultural robots (Intellimech), agentic AI for automated CAD generation and simulation (SIAD Group), GenAI for enhancing clinical imaging datasets (EUCAIM), and GenAI for automatic test-case generation from crash databases (Siemens). None maps to a product-lifecycle decision platform.</t>
  </si>
  <si>
    <t>https://www.f6s.com/ai-challenge-competition/</t>
  </si>
  <si>
    <t>Closes in 11 days on an open form. Forms are editable; file and refine.</t>
  </si>
  <si>
    <t>SPC Member Residency</t>
  </si>
  <si>
    <t>US (San Francisco, New York City) + India (Bengaluru)</t>
  </si>
  <si>
    <t>Zero equity. SPC blog: "There is no cost, no right to invest, and no requirement that you're starting a company." The SPC Fund has no right to invest in anything you start.</t>
  </si>
  <si>
    <t>Solo-friendly. Explicitly for individual technologists; co-founders apply separately. Many members find co-founders inside the community.</t>
  </si>
  <si>
    <t>~2-3 hours; written application then interview if shortlisted. No video required per published process.</t>
  </si>
  <si>
    <t>Must be located in and physically attend SF, NYC or Bangalore. FAQ: "Members are expected to come into SPC throughout the week, which usually means that folks need to be located in SF, NYC, or Bangalore."</t>
  </si>
  <si>
    <t>https://www.southparkcommons.com/apply/application</t>
  </si>
  <si>
    <t>STATION F Fighters Program</t>
  </si>
  <si>
    <t>France (Paris)</t>
  </si>
  <si>
    <t>Free; no equity stated</t>
  </si>
  <si>
    <t>No team-size rule published</t>
  </si>
  <si>
    <t>Roughly 2 to 3 hours</t>
  </si>
  <si>
    <t>Round 1 hybrid; Round 2 states on-site presence is required to benefit fully. Language listed as French only.</t>
  </si>
  <si>
    <t>https://form.fillout.com/t/198QRiJFRReu</t>
  </si>
  <si>
    <t>Collaborative Fund AIR (Global Startup Residency)</t>
  </si>
  <si>
    <t>Multiple cities, global</t>
  </si>
  <si>
    <t>Reported 10% by one source, 'founder-friendly, optionally equity-free' by another</t>
  </si>
  <si>
    <t>Multiple cities; residency format</t>
  </si>
  <si>
    <t>https://collaborativefund.com/air/</t>
  </si>
  <si>
    <t>Forge Founder Residency ‚Äî Cohort 02 (Lisbon) and Cohort 03 (Goa)</t>
  </si>
  <si>
    <t>Portugal (Lisbon, September 2026) and India (Mandrem, Goa, October 2026)</t>
  </si>
  <si>
    <t>'no equity, no programme fee, no hidden trade'</t>
  </si>
  <si>
    <t>Individual-selected ‚Äî 'we analyse each builder individually'. Solo is the norm.</t>
  </si>
  <si>
    <t>Three questions, a paragraph each. Lowest-effort credible application in this lane. Adi replies within a few days.</t>
  </si>
  <si>
    <t>Live on site for the full residency. Goa is in India, so no visa problem for this founder; Lisbon needs Schengen.</t>
  </si>
  <si>
    <t>https://www.forgeresidency.com/</t>
  </si>
  <si>
    <t>Open Intelligence Foundation Builder Grants</t>
  </si>
  <si>
    <t>'No equity, no control, no board seats.' No reporting requirements.</t>
  </si>
  <si>
    <t>Explicitly for independent builders: 'No big lab backing required. No VC strings attached.'</t>
  </si>
  <si>
    <t>Under 1 hour. Share links to your work (X, LinkedIn, GitHub), state what you need and approximate cost. No video, no references.</t>
  </si>
  <si>
    <t>None. Aimed at independent AI builders worldwide.</t>
  </si>
  <si>
    <t>https://openintelligencefoundation.ai/</t>
  </si>
  <si>
    <t>Slush 100 (and Slush 2026 startup programme)</t>
  </si>
  <si>
    <t>Finland (Helsinki), global applicants</t>
  </si>
  <si>
    <t>Equity-free prize. 'no strings attached, no reporting burden, no ties'.</t>
  </si>
  <si>
    <t>Not stated. Company-level competition.</t>
  </si>
  <si>
    <t>Company profile plus startup application on the Slush Platform. Budget 2-3 hours.</t>
  </si>
  <si>
    <t>Attendance in Helsinki required for the competition. Startup ticket ‚Ç¨395.</t>
  </si>
  <si>
    <t>https://slush.org/audience/startups/startups</t>
  </si>
  <si>
    <t>Sentry for Startups</t>
  </si>
  <si>
    <t>~10 min form. No video, no references. One of the fastest filings in the lane.</t>
  </si>
  <si>
    <t>https://sentry.io/for/startups/apply/</t>
  </si>
  <si>
    <t>Onward FX Fall 2026</t>
  </si>
  <si>
    <t>US ‚Äî Pacific Northwest</t>
  </si>
  <si>
    <t>Low</t>
  </si>
  <si>
    <t>In-person event</t>
  </si>
  <si>
    <t>https://onward.nwacouncil.org/fx</t>
  </si>
  <si>
    <t>Closes in 10 days on an open form. Forms are editable; file and refine.</t>
  </si>
  <si>
    <t>Retool for Startups</t>
  </si>
  <si>
    <t>~15 min form at https://share.hsforms.com/2H3PWbX5wQ9Wq_i3-P_wmZw4k765</t>
  </si>
  <si>
    <t>https://retool.com/startups</t>
  </si>
  <si>
    <t>Claude Startups Program</t>
  </si>
  <si>
    <t>'Any early-stage founder or startup building with Claude can join the Startups program'</t>
  </si>
  <si>
    <t>Under 1 hour. Needs a Claude Console account, company email, website and a short description.</t>
  </si>
  <si>
    <t>Discipulus Cohort (Fall 2026)</t>
  </si>
  <si>
    <t>United States (El Segundo, CA) ‚Äî international applicants accepted</t>
  </si>
  <si>
    <t>Not published on the page</t>
  </si>
  <si>
    <t>Explicit: 'Is having a team a requirement to apply? No, it isn't.'</t>
  </si>
  <si>
    <t>One team member only needs to apply; form on the cohort page</t>
  </si>
  <si>
    <t>Two weeks in person in El Segundo, full attendance required. 'Do you accept applicants from outside the U.S.? Yes, we welcome international applicants.'</t>
  </si>
  <si>
    <t>https://www.discipulusventures.com/cohort</t>
  </si>
  <si>
    <t>Reforge</t>
  </si>
  <si>
    <t>Global (online)</t>
  </si>
  <si>
    <t>Paid subscription. No equity.</t>
  </si>
  <si>
    <t>Minutes - a purchase, not an application.</t>
  </si>
  <si>
    <t>https://www.reforge.com/</t>
  </si>
  <si>
    <t>gBETA</t>
  </si>
  <si>
    <t>United States (multiple cities) plus international programmes in Luxembourg, Friuli-Venezia Giulia and Emilia-Romagna</t>
  </si>
  <si>
    <t>Free, no equity taken</t>
  </si>
  <si>
    <t>Low; short application per market</t>
  </si>
  <si>
    <t>City-specific; most gBETA markets expect a local presence</t>
  </si>
  <si>
    <t>https://www.gener8tor.com/gbeta</t>
  </si>
  <si>
    <t>Y Combinator Startup School</t>
  </si>
  <si>
    <t>Global, fully online</t>
  </si>
  <si>
    <t>Free and non-dilutive. 'Startup School is a free online course on how to start a startup.'</t>
  </si>
  <si>
    <t>'It's for anyone at the early stages of building a startup, turning a side project into a company'. Co-founder matching is a core feature.</t>
  </si>
  <si>
    <t>Sign-up only, minutes</t>
  </si>
  <si>
    <t>None; fully online</t>
  </si>
  <si>
    <t>Landing Pad Winter 2026</t>
  </si>
  <si>
    <t>Japan ‚Äî Aichi Prefecture; open to global startups</t>
  </si>
  <si>
    <t>Government-backed; no equity indicated</t>
  </si>
  <si>
    <t>Account registration plus an application form</t>
  </si>
  <si>
    <t>Business matchmaking with Aichi companies; travel to Japan for the in-person phase</t>
  </si>
  <si>
    <t>https://aichi-landing-pad.agorize.com/en/challenges/edition-2026-winter</t>
  </si>
  <si>
    <t>AssemblyAI Startup Program</t>
  </si>
  <si>
    <t>'Bootstrapped teams welcome too'</t>
  </si>
  <si>
    <t>~20 min via dashboard signup</t>
  </si>
  <si>
    <t>https://www.assemblyai.com/startup-program</t>
  </si>
  <si>
    <t>Exploratory Grantmaking in Technology</t>
  </si>
  <si>
    <t>Primarily US institutions</t>
  </si>
  <si>
    <t>Unknown - page unreadable. Sloan's grantmaking is overwhelmingly to institutions and named PIs.</t>
  </si>
  <si>
    <t>Letter of inquiry of maximum 2 pages emailed to technology@sloan.org</t>
  </si>
  <si>
    <t>The related OSPO call is explicitly limited to "U.S. research institutions"</t>
  </si>
  <si>
    <t>https://sloan.org/programs/digital-technology</t>
  </si>
  <si>
    <t>Startupbootcamp AI &amp; Web3 (Amsterdam)</t>
  </si>
  <si>
    <t>Netherlands (Amsterdam), hybrid</t>
  </si>
  <si>
    <t>Not published on the programme page.</t>
  </si>
  <si>
    <t>Unknown. A programme brochure is downloadable from the page.</t>
  </si>
  <si>
    <t>'Hybrid | Amsterdam'.</t>
  </si>
  <si>
    <t>https://startupbootcamp.org/accelerator/aivolution-iii</t>
  </si>
  <si>
    <t>startersss ‚Äî Accelerators With Open Applications directory</t>
  </si>
  <si>
    <t>Global directory covering 493 programmes</t>
  </si>
  <si>
    <t>N/A</t>
  </si>
  <si>
    <t>N/A ‚Äî this is a source, not a programme</t>
  </si>
  <si>
    <t>https://www.startersss.com/accelerators/open-applications</t>
  </si>
  <si>
    <t>Antler ONE Residency (Continental Europe)</t>
  </si>
  <si>
    <t>Germany (Berlin hub), with launch pads in Munich and Amsterdam</t>
  </si>
  <si>
    <t>Equity investment; the percentage is not published on the page</t>
  </si>
  <si>
    <t>Explicitly welcomes solo founders: solo founders or incomplete teams join for around ten weeks, using the early phase to shape direction and founder dynamics while continuing to build. The location page also notes some founders show up solo and pre-idea.</t>
  </si>
  <si>
    <t>Roughly 30 to 60 minutes; a short form plus an optional pitch deck upload with a 10MB limit. No video required.</t>
  </si>
  <si>
    <t>In person. Complete teams join for around six weeks; teams based in Munich or Amsterdam typically join the community physically in Berlin for two weeks first. Applicants must meet visa eligibility requirements for their chosen residency location.</t>
  </si>
  <si>
    <t>OpenAI Pioneers</t>
  </si>
  <si>
    <t>None stated - no equity mentioned</t>
  </si>
  <si>
    <t>Not addressed. The form is company-level (name, email, company, stage, sector) and never asks about team size or co-founders.</t>
  </si>
  <si>
    <t>1-2 hours. Short form: first name, last name, email, city, country, company, company stage, company sector, then three free-text questions - "What are the industry specific use-cases in which models are currently failing you and your customers?", "In what instances would domain-specific evals benefit your industry?", and additional details. NO VIDEO and NO REFERENCES required.</t>
  </si>
  <si>
    <t>None stated. The form asks for city and country with a global country list including India.</t>
  </si>
  <si>
    <t>https://openai.com/index/openai-pioneers-program/</t>
  </si>
  <si>
    <t>The Collective (4-month residency) and The Validation Sprint</t>
  </si>
  <si>
    <t>Finland (Helsinki)</t>
  </si>
  <si>
    <t>'It's free. No fees, no equity.'</t>
  </si>
  <si>
    <t>Explicitly welcomes solo ‚Äî 'You can come as an individual with an idea, or as a team already building.'</t>
  </si>
  <si>
    <t>Helsinki for the residency; the Validation Sprint is hybrid. No nationality or incorporation requirement stated.</t>
  </si>
  <si>
    <t>https://kiuas.typeform.com/to/lH9EvcaO</t>
  </si>
  <si>
    <t>Technology Development Fund (T√¶kni√ær√≥unarsj√≥√∞ur) ‚Äî Fr√¶/√ûr√≥unarfr√¶ seed grant</t>
  </si>
  <si>
    <t>Iceland</t>
  </si>
  <si>
    <t>Non-dilutive grant.</t>
  </si>
  <si>
    <t>Not stated. Notably, 'Individuals' are named as eligible applicants alongside business enterprises, which is unusual for a state R&amp;D fund and softens the entity assumption phase 1 made.</t>
  </si>
  <si>
    <t>Unknown, and there is a LANGUAGE WALL phase 1 did not know about: 'Full information about the fund is only available in Icelandic', the application forms are not available in English, and 'the project title and summary must be in Icelandic'. Portal at https://sjodir.rannis.is. Contact taeknithrounarsjodur@rannis.is.</t>
  </si>
  <si>
    <t>The fund's remit is innovation in the Icelandic economy. An Icelandic nexus is near-certain but is not stated as a hard rule on the English page.</t>
  </si>
  <si>
    <t>https://en.rannis.is/funding/research/technology-development-fund/</t>
  </si>
  <si>
    <t>Founder Institute</t>
  </si>
  <si>
    <t>Global - 200+ cities across 95 countries, including Bangalore and Hyderabad, India</t>
  </si>
  <si>
    <t>Founder Institute historically charges course fees and takes equity via a warrant/equity-pool structure. Exact current terms were NOT captured in this sweep and must be confirmed before filing.</t>
  </si>
  <si>
    <t>Explicitly individual-first. Historically "open to existing and prospective technology founders of all kinds - with or without an idea, young or old, and with a full-time job or unemployed."</t>
  </si>
  <si>
    <t>~1 hour plus a Predictive Admissions Test.</t>
  </si>
  <si>
    <t>Chapter-dependent; many are hybrid or virtual. Part-time by design - historically "not required to quit your day job".</t>
  </si>
  <si>
    <t>https://fi.co/enrolling</t>
  </si>
  <si>
    <t>Entrepreneur First XF2 ‚Äî Experienced Founders Program, London</t>
  </si>
  <si>
    <t>United Kingdom (London)</t>
  </si>
  <si>
    <t>Not stated on the portal for XF2.</t>
  </si>
  <si>
    <t>Explicitly solo. 'EF assesses all applicants as individuals, before they have a business, cofounder or an idea.' Portal FAQ confirms 'you do not need a cofounder'.</t>
  </si>
  <si>
    <t>Roughly a 10-12 question form, then three interview rounds, decided in 4-8 weeks. Budget 3-5 hours across the process.</t>
  </si>
  <si>
    <t>'The programs below are full-time and in person.' Relocation to London required; remote-only is not an option. EF states it will help secure a visa for applicants based outside its sites.</t>
  </si>
  <si>
    <t>UK Global Entrepreneur Programme (GEP)</t>
  </si>
  <si>
    <t>United Kingdom (relocation of HQ or R&amp;D presence)</t>
  </si>
  <si>
    <t>None. No equity taken.</t>
  </si>
  <si>
    <t>Not stated. The programme evaluates the business and its mobility, not team size.</t>
  </si>
  <si>
    <t>Not verified ‚Äî entry is via a qualification conversation rather than a public form. Budget a discovery call plus supporting materials.</t>
  </si>
  <si>
    <t>Must intend to establish a UK HQ or R&amp;D presence. Provides endorsement under the Innovator Founder Visa, giving three years' leave to remain.</t>
  </si>
  <si>
    <t>https://www.business.gov.uk/campaign/gep/</t>
  </si>
  <si>
    <t>Mozilla Technology Fund</t>
  </si>
  <si>
    <t>Unknown - page unreadable</t>
  </si>
  <si>
    <t>Unknown</t>
  </si>
  <si>
    <t>https://www.mozillafoundation.org/en/what-we-do/grantmaking/</t>
  </si>
  <si>
    <t>Notion for Startups</t>
  </si>
  <si>
    <t>Explicitly accommodates very small teams - the 1-month tier is defined for organisations 'under 10 employees'</t>
  </si>
  <si>
    <t>~10 min</t>
  </si>
  <si>
    <t>https://www.notion.so/startups-apply</t>
  </si>
  <si>
    <t>Render Startup / Migration Credits</t>
  </si>
  <si>
    <t>~15 min</t>
  </si>
  <si>
    <t>https://render.com/migration-credits</t>
  </si>
  <si>
    <t>FI Agentic Program</t>
  </si>
  <si>
    <t>GLOBAL ‚Äî 200+ cities, 100+ countries, virtual in-time-zone</t>
  </si>
  <si>
    <t>Founder Institute historically takes equity via a warrant plus course fees ‚Äî CURRENT TERMS MUST BE VERIFIED, this is where the real cost sits</t>
  </si>
  <si>
    <t>Explicitly inclusive: 'designed for founders and teams all throughout the pre-seed stage, including aspiring founders with a full-time job, solo founders, teams, and founders of established companies that are pre-funding'</t>
  </si>
  <si>
    <t>None ‚Äî virtual programmes cover every region in-time-zone with local mentors</t>
  </si>
  <si>
    <t>https://fi.co/apply</t>
  </si>
  <si>
    <t>Foresight Fellowship</t>
  </si>
  <si>
    <t>Global (hubs in San Francisco and Berlin)</t>
  </si>
  <si>
    <t>None. No equity.</t>
  </si>
  <si>
    <t>Individual fellowship ‚Äî solo is the default unit.</t>
  </si>
  <si>
    <t>Unverified. Application plus optional nomination route. Budget 2-4 hours.</t>
  </si>
  <si>
    <t>None ongoing. Travel to two events, paid.</t>
  </si>
  <si>
    <t>https://foresight.org/engage/fellowship/</t>
  </si>
  <si>
    <t>IT Park Global Startup Accelerator 2026</t>
  </si>
  <si>
    <t>Russia ‚Äî Kazan, Tatarstan; open to startups worldwide</t>
  </si>
  <si>
    <t>Not published</t>
  </si>
  <si>
    <t>'You are a founder or co-founder' ‚Äî solo acceptable</t>
  </si>
  <si>
    <t>Online phase from anywhere; top 20 travel to Kazan</t>
  </si>
  <si>
    <t>http://global.itpark.tech/</t>
  </si>
  <si>
    <t>in5 Tech Incubation Programme</t>
  </si>
  <si>
    <t>UAE / Dubai</t>
  </si>
  <si>
    <t>Not stated. "We are open to great ideas from everyone."</t>
  </si>
  <si>
    <t>Typeform application, then a five-step process: "Apply, Shortlisting, Pitching (to industry experts committee), Selection, and Incorporation." The final step is Incorporation - the programme's output is a UAE company, which tells you what it is really for.</t>
  </si>
  <si>
    <t>"located (or willing to relocate) in the UAE to be able to qualify" - willingness suffices, which keeps it open to a Bangalore-based founder. Based at in5 Tech, Dubai Internet City.</t>
  </si>
  <si>
    <t>https://infive.typeform.com/applications</t>
  </si>
  <si>
    <t>Magic Mind AI Accelerator</t>
  </si>
  <si>
    <t>Europe ‚Äî Milan, Italy</t>
  </si>
  <si>
    <t>Up to 10% equity. Founders must accept terms and sign a term sheet BEFORE Selection Day ‚Äî stated as a mandatory prerequisite.</t>
  </si>
  <si>
    <t>At least one founder commits ~1 day per week; co-working available at partner offices in Milan</t>
  </si>
  <si>
    <t>https://www.magicmind.eu/</t>
  </si>
  <si>
    <t>Sputnik ATX VC</t>
  </si>
  <si>
    <t>United States (Austin, TX)</t>
  </si>
  <si>
    <t>$3mm cap, 30% discount terms. 'We don't take board seats.'</t>
  </si>
  <si>
    <t>Austin; 'back bold founders outside Silicon Valley'</t>
  </si>
  <si>
    <t>https://sputnikatx.com/</t>
  </si>
  <si>
    <t>Foresight Institute AI for Science &amp; Safety Grants</t>
  </si>
  <si>
    <t>Non-dilutive grant from a 501(c)(3)</t>
  </si>
  <si>
    <t>Funds individuals and small teams; no team-size rule published</t>
  </si>
  <si>
    <t>3-5 hours estimated. Page carries a live 'Apply now' control; full form requirements not visible without opening it.</t>
  </si>
  <si>
    <t>None stated; organisation is San Francisco based</t>
  </si>
  <si>
    <t>https://foresight.org/engage/grants/</t>
  </si>
  <si>
    <t>Pegasus Angel Accelerator</t>
  </si>
  <si>
    <t>California, USA - remote-first</t>
  </si>
  <si>
    <t>Capped SAFE, percentage varies</t>
  </si>
  <si>
    <t>Remote-first per the directory</t>
  </si>
  <si>
    <t>https://www.pegasusangelaccelerator.com/</t>
  </si>
  <si>
    <t>Baseten AI Startup Program</t>
  </si>
  <si>
    <t>Stated criteria are 'Seed to Series A and you started less than 5 years ago' plus AI central to core product and net-new customer. The funding-stage phrasing may exclude a pre-raise founder - resolve in phase 2 rather than assuming.</t>
  </si>
  <si>
    <t>https://www.baseten.co/talk-to-us/startup-program/</t>
  </si>
  <si>
    <t>Agentic Accelerator</t>
  </si>
  <si>
    <t>GLOBAL ‚Äî 100% remote</t>
  </si>
  <si>
    <t>'100% remote' ‚Äî the only fully remote AI-agent programme found with a live dated deadline</t>
  </si>
  <si>
    <t>https://www.agentic.near.org/</t>
  </si>
  <si>
    <t>Edge City Inflection Fellowship (India cohort)</t>
  </si>
  <si>
    <t>Zero equity. Fully-funded fellowship.</t>
  </si>
  <si>
    <t>Individual fellowship - "You don't need to be running a company."</t>
  </si>
  <si>
    <t>Moot - ineligible on age.</t>
  </si>
  <si>
    <t>Goa, India. "India-based builders are especially encouraged to apply."</t>
  </si>
  <si>
    <t>AGE. "A three-week, fully-funded fellowship for exceptional builders under 25" and "You must be under 25 years old when you'll attend the popup village." The founder is well past 25 given the ISRO to Infineon to Intellect career arc. Published, binary and disqualifying.</t>
  </si>
  <si>
    <t>https://www.edgecity.live/blog/announcing-the-inflection-fellowship-2026-at-edge-esmeralda</t>
  </si>
  <si>
    <t>Closes in 0 days on an open form. Forms are editable; file and refine.</t>
  </si>
  <si>
    <t>Sentient Foundation Open Source AGI Grant Programme</t>
  </si>
  <si>
    <t>Public-goods track is fully non-dilutive: 'No equity. No lockups. No claim on your work.' A second company track offers 'founder-friendly terms' for open-AI companies.</t>
  </si>
  <si>
    <t>Aimed at individual developers and maintainers. The page's own framing names 'a developer in Lagos, Bangalore, or Sao Paulo'.</t>
  </si>
  <si>
    <t>2-4 hours estimated. Two tracks, one application.</t>
  </si>
  <si>
    <t>None. Explicitly global and explicitly names Bangalore.</t>
  </si>
  <si>
    <t>https://sentient.foundation/grants</t>
  </si>
  <si>
    <t>Convergent Research FRO idea submission</t>
  </si>
  <si>
    <t>Non-dilutive. FROs are non-profit research organisations.</t>
  </si>
  <si>
    <t>Individual proposers welcome</t>
  </si>
  <si>
    <t>A few-page proposal. 'Our team initially evaluates incoming few-page proposals at a high level'.</t>
  </si>
  <si>
    <t>https://www.convergentresearch.org/get-involved</t>
  </si>
  <si>
    <t>The Bridge Residency, San Francisco ‚Äî Fall 2026</t>
  </si>
  <si>
    <t>US ‚Äî San Francisco (route for Europe-based applicants)</t>
  </si>
  <si>
    <t>EF SAFE; a Delaware C-Corp is formed during the programme</t>
  </si>
  <si>
    <t>EF evaluates individuals, not teams ‚Äî solo application is the default. Team formation happens inside the programme.</t>
  </si>
  <si>
    <t>~2-4 hours</t>
  </si>
  <si>
    <t>Hacker House in the SF Bay Area; full housing and board provided; visa support offered</t>
  </si>
  <si>
    <t>Possible: positioned for 'young Europeans'. Verify whether an age band or a current-Europe-residence rule is actually published, since the founder is currently in Bangalore. This may be a real eligibility wall or merely marketing language ‚Äî not resolved in this pass.</t>
  </si>
  <si>
    <t>Antler India Residency</t>
  </si>
  <si>
    <t>India / Bengaluru</t>
  </si>
  <si>
    <t>Rs 4 Cr (~$470K) for 11% total. By a wide margin the best per-dollar equity of any Antler city verified here - roughly three times Singapore's cheque for one extra point of dilution.</t>
  </si>
  <si>
    <t>Not directly stated for India. The residency targets "Strong teams committed full-time; actively experimenting with users to sharpen MVP clarity" and emphasises "exceptional founding teams" - team-leaning language, but no published solo exclusion of the kind Australia and MENAP carry.</t>
  </si>
  <si>
    <t>Antler standard application. Assume the same deck requirement as other cities.</t>
  </si>
  <si>
    <t>"Available to join full-time in Bangalore" for the residency. The founder already lives in Bangalore, so this is the only Antler city with zero relocation cost. Antler provides "a one-time INR 2L grant to cover expenses".</t>
  </si>
  <si>
    <t>https://www.antler.co/location/india</t>
  </si>
  <si>
    <t>IIMA Ventures incubation</t>
  </si>
  <si>
    <t>India (Ahmedabad, Indore, Jaipur)</t>
  </si>
  <si>
    <t>Varies by programme - grants at the low end, convertible debt or equity at the high end.</t>
  </si>
  <si>
    <t>Not stated for general incubation. Eligibility is framed around "Individuals, startups, and founders who are working on an innovative idea" - individual-friendly language.</t>
  </si>
  <si>
    <t>Online application. Response in 2 weeks for some programmes, up to 45 days for wider-outreach ones.</t>
  </si>
  <si>
    <t>India. Physical presence across Ahmedabad, Indore and Jaipur, with virtual support also offered.</t>
  </si>
  <si>
    <t>https://go.iimaventures.com/WebsiteForm</t>
  </si>
  <si>
    <t>Morgan Stanley Inclusive Ventures Lab</t>
  </si>
  <si>
    <t>Reported as non-dilutive by one aggregator and 'varies' by another - sources conflict</t>
  </si>
  <si>
    <t>NYC; 5-month programme</t>
  </si>
  <si>
    <t>possible demographic eligibility screen - unresolved, see notes</t>
  </si>
  <si>
    <t>https://www.morganstanley.com/what-we-do/inclusive-ventures-lab</t>
  </si>
  <si>
    <t>Startup Wise Guys ‚Äî B2B SaaS Accelerator</t>
  </si>
  <si>
    <t>Estonia (Tallinn) and pan-European</t>
  </si>
  <si>
    <t>Published exclusion, stated twice: 'You come with at least two co-founders' and 'Our programs are not for you if you're B2C-focused, hardware-centric, lacking traction, or a solo founder.'</t>
  </si>
  <si>
    <t>Web form on the apply page; fields for name, LinkedIn, startup description, vertical</t>
  </si>
  <si>
    <t>Tallinn-based programme, in person per the aggregator listing</t>
  </si>
  <si>
    <t>https://startupwiseguys.com/apply/</t>
  </si>
  <si>
    <t>Entrepreneur First - The Bridge Residency (Fall 2026) and XF2 Experienced Founders (London)</t>
  </si>
  <si>
    <t>US (San Francisco Bay Area) for The Bridge; UK (London) for XF2</t>
  </si>
  <si>
    <t>Not published for The Bridge Residency specifically. XF2 terms not published.</t>
  </si>
  <si>
    <t>Solo-first - participants arrive "pre-team, pre-idea".</t>
  </si>
  <si>
    <t>~3-5 hours plus interviews</t>
  </si>
  <si>
    <t>The Bridge: live in a dedicated Hacker House in the Bay Area for eight weeks; EF provides housing, board and visa support. XF2: London.</t>
  </si>
  <si>
    <t>Founders Factory London ‚Äî Accelerator</t>
  </si>
  <si>
    <t>4‚Äì6% (aggregator) ‚Äî the smallest cheque and the smallest equity bite among UK accelerators.</t>
  </si>
  <si>
    <t>~2h Typeform, then a call with an investment manager, then a committee pitch. Reported ~5% acceptance over a 1‚Äì2 month process.</t>
  </si>
  <si>
    <t>London.</t>
  </si>
  <si>
    <t>https://foundersfactorystartups.typeform.com/to/WlDiIsRh</t>
  </si>
  <si>
    <t>parallel18 (P18 international acceleration programme)</t>
  </si>
  <si>
    <t>Puerto Rico (United States territory)</t>
  </si>
  <si>
    <t>Equity-free grant</t>
  </si>
  <si>
    <t>'Anyone who's over 18 years of age and has a startup ready to scale' - no team-size rule</t>
  </si>
  <si>
    <t>3-5 hours estimated</t>
  </si>
  <si>
    <t>'a C-level founder must be willing to come to Puerto Rico for the duration of the program'</t>
  </si>
  <si>
    <t>https://parallel18.com/p18/</t>
  </si>
  <si>
    <t>Cyberport Creative Micro Fund (CCMF) - Hong Kong Programme</t>
  </si>
  <si>
    <t>Hong Kong</t>
  </si>
  <si>
    <t>Non-dilutive grant. No equity taken.</t>
  </si>
  <si>
    <t>No team-size requirement. The programme explicitly accepts individual applicants as well as companies: sub-programmes are described as "accepting individual applications and company applications".</t>
  </si>
  <si>
    <t>Online application through the EMS portal, then a presentation to an independent vetting team drawn from the Entrepreneurship Committee Advisory Group, with a Q&amp;A. Vetting weights are published: Project Management Team 30%, Business Model and Time to Market 30%, Creativity and Innovation 30%, Social Responsibility 10%.</t>
  </si>
  <si>
    <t>Hong Kong. Open to applicants aged 18 or above upon the application deadline.</t>
  </si>
  <si>
    <t>A Hong Kong nexus is required, but which one depends on the route, and one route does not need an entity to apply: "Individual Applicants: Principal applicant must be Hong Kong ID Card holder. Company Applicants: Limited company registered and incorporated in Hong Kong upon admission." The founder holds no HK ID card, so the individual route is walled. The company route requires the HK company only upon admission, not to apply - so applying is possible, but accepting means incorporating in Hong Kong.</t>
  </si>
  <si>
    <t>https://ems.cyberport.hk/form/?selected_lang=en</t>
  </si>
  <si>
    <t>STATION F Landing Zone</t>
  </si>
  <si>
    <t>None; 269 EUR HT per desk per month</t>
  </si>
  <si>
    <t>Roughly 1 hour</t>
  </si>
  <si>
    <t>STATION F, Paris, full-time desk</t>
  </si>
  <si>
    <t>https://stationfteam.notion.site/Landing-Zone-Information-0e258f58e1c74a838464e0b7e7eb0ee1</t>
  </si>
  <si>
    <t>Digital Catapult ‚Äî Applied AI Growth Sprints</t>
  </si>
  <si>
    <t>NON-DILUTIVE. Innovate UK funded.</t>
  </si>
  <si>
    <t>Unknown; likely a moderate written application.</t>
  </si>
  <si>
    <t>UK AI companies.</t>
  </si>
  <si>
    <t>https://www.digicatapult.org.uk/apply/opportunities/opportunity/applied-ai-growth-sprints/</t>
  </si>
  <si>
    <t>Funding for work that builds capacity to address risks from transformative AI</t>
  </si>
  <si>
    <t>Non-dilutive grant. Page notes they are 'open to making restricted grants to projects housed within for-profit companies, though we expect this to be somewhat rare, for logistical reasons.'</t>
  </si>
  <si>
    <t>Explicitly funds individuals</t>
  </si>
  <si>
    <t>3-6 hours estimated. Paperform general application; no video required.</t>
  </si>
  <si>
    <t>https://op-gcrcb-general-form.paperform.co/</t>
  </si>
  <si>
    <t>Startup Wise Guys - The Founders Club</t>
  </si>
  <si>
    <t>Europe, online</t>
  </si>
  <si>
    <t>Equity-based for the flagship; Founders Club terms not stated</t>
  </si>
  <si>
    <t>3-month online programme</t>
  </si>
  <si>
    <t>https://startupwiseguys.com/all-programs/the-founders-club/</t>
  </si>
  <si>
    <t>Accelerator Program (Accelerate)</t>
  </si>
  <si>
    <t>Netherlands (Delft)</t>
  </si>
  <si>
    <t>'YES!Delft takes no equity.' Participation fee ‚Ç¨3,500 (excl. VAT) per team, plus a ‚Ç¨25,000 (excl. VAT) success fee payable only on reaching ‚Ç¨1M additional annual revenue or ‚Ç¨1M total funding.</t>
  </si>
  <si>
    <t>Published 2+ rule: 'Minimum co-founders: at least two required' ‚Äî but the page explicitly offers solo founders a route in, noting solo founders 'can join a workshop to find a co-founder'. That is a documented on-ramp, not a rejection.</t>
  </si>
  <si>
    <t>Est. 3-5 hours.</t>
  </si>
  <si>
    <t>'Based in or moving to The Netherlands.' No TU Delft affiliation needed ‚Äî 'You do not need to be a TU Delft student, alumnus, or staff member.'</t>
  </si>
  <si>
    <t>https://yesdelft.com/join-as-startup/</t>
  </si>
  <si>
    <t>Creation-to-Capital Cycle (Ignition Qualifiers, Founders' Dive, Acceleration Program)</t>
  </si>
  <si>
    <t>Latvia (Riga), operating internationally</t>
  </si>
  <si>
    <t>Equity investment via dedicated pre-seed and seed funds; 40 ventures in portfolio.</t>
  </si>
  <si>
    <t>The model deliberately pairs an individual entrepreneur with a scientist ‚Äî solo entrepreneurial applicants are the intended intake for the ENT track.</t>
  </si>
  <si>
    <t>Unknown; entry is via the Ignition Qualifiers training track rather than a direct startup application.</t>
  </si>
  <si>
    <t>Latvia-headquartered, operating internationally. Also operates ESA BIC Latvia since November 2024.</t>
  </si>
  <si>
    <t>none formally, but the programme creates new ventures around licensed university science rather than accelerating a founder's own existing product</t>
  </si>
  <si>
    <t>https://www.commercializationreactor.com/</t>
  </si>
  <si>
    <t>Forge Residency ‚Äî Cohort 02 'alexandria'</t>
  </si>
  <si>
    <t>India ‚Äî Mandrem, Goa</t>
  </si>
  <si>
    <t>Free. 'forge takes no money and no equity. we make nothing from you.' No application fee, no tuition. Housing, dinners, AI credits and domains covered.</t>
  </si>
  <si>
    <t>Not addressed; cohort 01 was 13 founders across 8 teams, so solo builders were clearly present</t>
  </si>
  <si>
    <t>Very low ‚Äî 'three questions. a paragraph each.'</t>
  </si>
  <si>
    <t>Live in the Goa house for the full 22 days</t>
  </si>
  <si>
    <t>https://forge.adihuman.ai/cohorts/2</t>
  </si>
  <si>
    <t>UK Global Talent Visa ‚Äî Digital Technology (Tech Nation endorsement)</t>
  </si>
  <si>
    <t>None. No equity, no company, no sponsor.</t>
  </si>
  <si>
    <t>IRRELEVANT ‚Äî an individual endorsement. Solo is the unit of assessment, which makes this the most solo-friendly item in the lane.</t>
  </si>
  <si>
    <t>HIGH but front-loadable: most successful applicants spend 3‚Äì6 months preparing, and the bulk of that is securing THREE letters of recommendation from senior figures who genuinely know the applicant's work. No video. CV covering the last 5 years plus up to 10 evidence pieces.</t>
  </si>
  <si>
    <t>None to apply. Grants the right to live and work in the UK once issued.</t>
  </si>
  <si>
    <t>https://www.gov.uk/global-talent</t>
  </si>
  <si>
    <t>SOSV ‚Äî Orbit Startups</t>
  </si>
  <si>
    <t>Ireland-HQ organisation; programme targets emerging and frontier markets incl. South Asia</t>
  </si>
  <si>
    <t>Equity; percentage not established.</t>
  </si>
  <si>
    <t>Moderate.</t>
  </si>
  <si>
    <t>Targets Southeast and South Asia, the Middle East, Africa and Latin America. Work "virtually or in-person" ‚Äî no forced relocation.</t>
  </si>
  <si>
    <t>https://forms.sosv.com/apply/orbit-startups</t>
  </si>
  <si>
    <t>Hello Tomorrow Global Challenge</t>
  </si>
  <si>
    <t>Equity-free prize</t>
  </si>
  <si>
    <t>Free to apply; moderate written application</t>
  </si>
  <si>
    <t>None to apply; finals held at the Hello Tomorrow Summit</t>
  </si>
  <si>
    <t>https://hello-tomorrow.org/global-challenge/</t>
  </si>
  <si>
    <t>Estonian Startup Visa</t>
  </si>
  <si>
    <t>Estonia</t>
  </si>
  <si>
    <t>Dealum form plus supporting documents, est. 6-10 hours. State fee ‚Ç¨80 for a long-stay D visa, ‚Ç¨60 short-stay; no fee for the Startup Committee review itself.</t>
  </si>
  <si>
    <t>Estonia. Company must be 'commencing operations' with an 'innovative and repeatable business model with great global growth potential' and be 'not older than 10 years'.</t>
  </si>
  <si>
    <t>https://app.dealum.com/#/company/application/new/22/fbscrckdd1hmjejisjgw3x73wbfbcz58</t>
  </si>
  <si>
    <t>Lenny's Newsletter Community</t>
  </si>
  <si>
    <t>Global (online, Slack) with local meetups</t>
  </si>
  <si>
    <t>None. Paid subscription: $200/year annual, $400/year Insider tier.</t>
  </si>
  <si>
    <t>Minutes - it is a paid subscription, not an application.</t>
  </si>
  <si>
    <t>https://www.lennysnewsletter.com/p/productpass</t>
  </si>
  <si>
    <t>Fuse Ventures ‚Äî Fall 2026 programs</t>
  </si>
  <si>
    <t>US ‚Äî multiple regional hubs including Phoenix and Wichita</t>
  </si>
  <si>
    <t>~10 minutes ‚Äî the page states '~10 min to complete'</t>
  </si>
  <si>
    <t>Regional hubs; each cohort is tied to a US ecosystem</t>
  </si>
  <si>
    <t>https://fuseventures.com/applynow</t>
  </si>
  <si>
    <t>Accelerace pre-seed funding route</t>
  </si>
  <si>
    <t>Denmark (Copenhagen), serving Nordics and Baltics</t>
  </si>
  <si>
    <t>Equity; terms not published.</t>
  </si>
  <si>
    <t>Start with the 12-question investment readiness test (~15 minutes), then the funding route. No structured application effort published.</t>
  </si>
  <si>
    <t>Nordics and Baltics focus. Overkill Ventures' own site directs any 'pre-seed stage startup from Nordics or Baltics' here.</t>
  </si>
  <si>
    <t>https://accelerace.io/funding/</t>
  </si>
  <si>
    <t>Alchemist Accelerator ‚Äî Flagship Program</t>
  </si>
  <si>
    <t>United States (Silicon Valley); also runs Chicago, Doha and Japan programmes</t>
  </si>
  <si>
    <t>Not published on the fetched pages</t>
  </si>
  <si>
    <t>Not addressed on the fetched pages</t>
  </si>
  <si>
    <t>Hybrid per aggregator listings</t>
  </si>
  <si>
    <t>https://alchemistaccelerator.com/apply</t>
  </si>
  <si>
    <t>E3 Accelerator Cycle 6</t>
  </si>
  <si>
    <t>Not published: "Any equity, investment, and valuation terms will be discussed individually with shortlisted startups." You cannot price this before applying.</t>
  </si>
  <si>
    <t>Published two-founder criterion, confirmed verbatim at source: "Minimum of two committed founders with complementary business and technical expertise." It sits in the eligibility list, not in a preferences section. Per screening rule 3 this stays on the list - a published criterion, not a legal wall - but it is the most explicit team requirement of any OPEN programme here.</t>
  </si>
  <si>
    <t>Online application, effort not published. Shortlisted founders interviewed after 30 September. No video or references stated.</t>
  </si>
  <si>
    <t>Hybrid. Virtual phase is fully online; "At least one founding member must be physically present in Riyadh for the onsite immersion phase." For a solo founder that is him, in Riyadh, for the immersion.</t>
  </si>
  <si>
    <t>https://e3.ventures/programs/e3-accelerator/</t>
  </si>
  <si>
    <t>CoreWeave Accelerator Program</t>
  </si>
  <si>
    <t>Non-dilutive. Note CoreWeave Ventures is a separate equity vehicle.</t>
  </si>
  <si>
    <t>https://www.coreweave.com/blog/coreweave-launches-startup-accelerator-program-democratizing-access-to-gpu-compute-in-the-cloud</t>
  </si>
  <si>
    <t>ODF Founder Fellowship (ODF28)</t>
  </si>
  <si>
    <t>United States (San Francisco), applicants worldwide</t>
  </si>
  <si>
    <t>No equity taken. Pay-what-you-can, suggested $1,000 USD, covering venue, food and year-round community infrastructure.</t>
  </si>
  <si>
    <t>Effectively solo-preferred. The 'Not a fit' list includes 'You already have a team' ‚Äî designed for pre-team founders.</t>
  </si>
  <si>
    <t>Application, optional async video, interview, optional second interview, decision in ~36 hours. Budget 2-3 hours plus a short video.</t>
  </si>
  <si>
    <t>Must attend the full five-business-day SF sprint. 'We welcome applicants worldwide... Visa letters available for the onboarding week.'</t>
  </si>
  <si>
    <t>https://admissions.joinodf.com/</t>
  </si>
  <si>
    <t>Royal Academy of Engineering ‚Äî Enterprise Fellowships</t>
  </si>
  <si>
    <t>UK and Ireland</t>
  </si>
  <si>
    <t>NON-DILUTIVE grant. No equity.</t>
  </si>
  <si>
    <t>Individual fellowship ‚Äî you must be CEO for the duration. Solo is entirely normal here.</t>
  </si>
  <si>
    <t>High ‚Äî two-stage application with a technical and commercial case.</t>
  </si>
  <si>
    <t>HARD: "You must be currently based in the UK or Ireland." Rohit is in Bangalore.</t>
  </si>
  <si>
    <t>Applicant must be currently based in the UK or Ireland. The founder is in Bangalore with no UK/Ireland residence.</t>
  </si>
  <si>
    <t>https://enterprisehub.raeng.org.uk/programmes/enterprise-fellowships/</t>
  </si>
  <si>
    <t>Solo Grants</t>
  </si>
  <si>
    <t>Global ‚Äî 'open to anyone, any age, anywhere in the world'</t>
  </si>
  <si>
    <t>100% non-dilutive. 'no equity, no repayment, no board seat.'</t>
  </si>
  <si>
    <t>Solo-only by definition: 'One person building a real thing.'</t>
  </si>
  <si>
    <t>Five-minute form, no deck, no warm intro, then a 15-minute interview. Lowest effort of anything in this sweep.</t>
  </si>
  <si>
    <t>https://sologrants.com/</t>
  </si>
  <si>
    <t>Intercom Early Stage Program</t>
  </si>
  <si>
    <t>'Fewer than 15 employees' - a solo founder qualifies comfortably</t>
  </si>
  <si>
    <t>~10 min self-serve signup</t>
  </si>
  <si>
    <t>https://www.intercom.com/signup?solution_id=26</t>
  </si>
  <si>
    <t>Foresight Institute Fellowship</t>
  </si>
  <si>
    <t>Individual fellowship</t>
  </si>
  <si>
    <t>Unknown; not visible without opening the form</t>
  </si>
  <si>
    <t>Buildit Accelerator</t>
  </si>
  <si>
    <t>Estonia (Tartu) and Latvia</t>
  </si>
  <si>
    <t>Equity; terms unverified.</t>
  </si>
  <si>
    <t>Not established.</t>
  </si>
  <si>
    <t>Unknown.</t>
  </si>
  <si>
    <t>Estonia/Latvia.</t>
  </si>
  <si>
    <t>none established</t>
  </si>
  <si>
    <t>https://buildit.co/</t>
  </si>
  <si>
    <t>Gr√ºnderAcademy</t>
  </si>
  <si>
    <t>Norway (Oslo, Bergen, Stavanger, Kristiansand)</t>
  </si>
  <si>
    <t>Free. TheFactory invests separately through its funds.</t>
  </si>
  <si>
    <t>Unknown ‚Äî no reachable form. The route in is the SpareBank 1 S√∏r-Norge partner page.</t>
  </si>
  <si>
    <t>'The program targeting Norwegian startups within fintech, proptech, retail, saas/business, and impact'. Stated as a target, not published as an eligibility rule. Delivered regionally in four Norwegian cities.</t>
  </si>
  <si>
    <t>https://www.thefactory.no/grunderacademy</t>
  </si>
  <si>
    <t>Antler UK Residency</t>
  </si>
  <si>
    <t>¬£125,000 for 8.5% equity plus a convertible note; Antler Elevate can invest up to ¬£25M at Series A and beyond</t>
  </si>
  <si>
    <t>Published rule against it: 'We don't invest in solo founders. Most people join Antler solo, but the goal of the residency is to form a complementary founding team.'</t>
  </si>
  <si>
    <t>AI-guided conversation then interviews</t>
  </si>
  <si>
    <t>Eight weeks in London</t>
  </si>
  <si>
    <t>Visa condition, not a wall: 'Founders must either have the right to work in the UK or be actively working on a visa application by their first interview.' The right is not held today, but 'actively working on' an application is an explicitly accepted state ‚Äî a condition to start, not an eligibility bar.</t>
  </si>
  <si>
    <t>Sanabil Accelerator by 500 Global (Batch 12)</t>
  </si>
  <si>
    <t>THE FEE IS REAL AND IT IS ON THE PROGRAMME'S OWN PAGE: "The program Fee for Phase 1 is $35,000 per startup, excluding travel expenses." This is a paid programme, not a funded one. Phase 1 asked whether the fee attached to this track or a neighbouring one; it appears on the seed-accelerator page itself with no other track named.</t>
  </si>
  <si>
    <t>Not stated. Criteria are stage-based rather than team-based.</t>
  </si>
  <si>
    <t>Standard 500 Global application via the Aplica platform. Eligibility is "Tech startups with a Minimum Viable Product (MVP)" and "Startups with early traction looking to scale".</t>
  </si>
  <si>
    <t>MENA focus is an explicit published criterion: "Focused on the Middle Eastern and North African region (MENA)". 12-week programme anchored in Riyadh.</t>
  </si>
  <si>
    <t>https://mena.aplica.500.co/</t>
  </si>
  <si>
    <t>ZEBOX Acceleration Program</t>
  </si>
  <si>
    <t>France (Marseille), with global hubs</t>
  </si>
  <si>
    <t>The startup pays 2,000 to 10,000 EUR in total; no equity stated</t>
  </si>
  <si>
    <t>Hybrid, with a three-day in-person kickoff in France</t>
  </si>
  <si>
    <t>https://www.ze-box.io/hubs/france</t>
  </si>
  <si>
    <t>AREA 01 Residency - Cohort 01</t>
  </si>
  <si>
    <t>India (Indiranagar, Bengaluru)</t>
  </si>
  <si>
    <t>Not published - must be confirmed</t>
  </si>
  <si>
    <t>Selects for "high agency, technical independence, and full commitment" - individual-framed, no team requirement stated.</t>
  </si>
  <si>
    <t>~15 minutes for the waitlist form.</t>
  </si>
  <si>
    <t>Live and work in Indiranagar, Bengaluru. "AREA 01 is full-time in Bangalore. No side jobs, no part-time participation." Founder already lives in Bangalore.</t>
  </si>
  <si>
    <t>https://www.area01.space/</t>
  </si>
  <si>
    <t>Cerebral Valley AI Summit</t>
  </si>
  <si>
    <t>Individual attendance - team size is irrelevant here</t>
  </si>
  <si>
    <t>Under 30 minutes - an application to attend.</t>
  </si>
  <si>
    <t>San Francisco for the summit</t>
  </si>
  <si>
    <t>https://reg.newcomer.events/cvai8/start</t>
  </si>
  <si>
    <t>Solo Grants and the Solo Founders Program</t>
  </si>
  <si>
    <t>'no equity, no repayment, no board seat'</t>
  </si>
  <si>
    <t>The entire premise: 'One person building a real thing.' Eligibility stated as 'open to all ages and nationalities'.</t>
  </si>
  <si>
    <t>About 30 minutes for the form ('about five minutes, no deck, no warm intro') plus a 15-minute interview. No video required.</t>
  </si>
  <si>
    <t>None. 'It's open to anyone, any age, anywhere in the world'.</t>
  </si>
  <si>
    <t>Cascade funding / Financial Support to Third Parties (FSTP) open calls</t>
  </si>
  <si>
    <t>EU-level (country rules vary per call)</t>
  </si>
  <si>
    <t>Equity-free grants.</t>
  </si>
  <si>
    <t>Varies by call. AI-BOOST expressly accepts individuals; most others require an SME.</t>
  </si>
  <si>
    <t>Low per call ‚Äî cascade calls are deliberately "faster, smaller, and less bureaucratic than many direct EU programmes". Often 10-25 hours.</t>
  </si>
  <si>
    <t>Varies by call; almost always EU or Associated Country establishment, though AI-BOOST's individual route shows 'establishment' can mean residence rather than incorporation.</t>
  </si>
  <si>
    <t>None at the channel level; individual calls vary and most require an SME.</t>
  </si>
  <si>
    <t>https://cascadefunding.eu/</t>
  </si>
  <si>
    <t>Ship Residency</t>
  </si>
  <si>
    <t>None: "Ship isn't an accelerator or an investor. We don't take equity, and there are no hidden fees for a spot in the house."</t>
  </si>
  <si>
    <t>Explicitly welcomes solo: "Absolutely. Solo founders are welcome. You'll still be surrounded by people who push you like a team would."</t>
  </si>
  <si>
    <t>Roughly 30 minutes. Five short questions plus an optional file. No video, no deck, no references. The optional "best agent chat history" upload is an unusual and revealing ask - it selects for people who actually build with agents, which is directly on-thesis for Supaprod.</t>
  </si>
  <si>
    <t>A physical house in Bengaluru, in-person residency required. The founder already lives in Bangalore, so this is the only option in the sweep with genuinely zero relocation cost.</t>
  </si>
  <si>
    <t>https://tally.so/r/ZjKN7B</t>
  </si>
  <si>
    <t>Contrary Sabbatical</t>
  </si>
  <si>
    <t>Equity investment; terms not verified.</t>
  </si>
  <si>
    <t>Historically stated as open to anyone regardless of age or location, with the only requirement being a full year of focus.</t>
  </si>
  <si>
    <t>Historically an email to sabbatical@contrary.com plus a form. Unverified.</t>
  </si>
  <si>
    <t>None stated historically; office space offered depending on city.</t>
  </si>
  <si>
    <t>https://applications.contrary.com/apply-sabbatical</t>
  </si>
  <si>
    <t>AI Launchpad Batch 4</t>
  </si>
  <si>
    <t>Europe ‚Äî 6 to 10 local hubs</t>
  </si>
  <si>
    <t>Low ‚Äî a pitch deck plus a 1-minute video</t>
  </si>
  <si>
    <t>Apply to one of the local European hubs for a 12-week immersion</t>
  </si>
  <si>
    <t>https://elias-ai.eu/ai-launchpad/</t>
  </si>
  <si>
    <t>Datadog for Startups</t>
  </si>
  <si>
    <t>~20 min, but the partner dropdown is mandatory</t>
  </si>
  <si>
    <t>'All applicants must come through one of our referral partners' - a VC firm, accelerator or listed startup-programme partner. Criteria are Series A or earlier, referred by a partner, and new to Datadog.</t>
  </si>
  <si>
    <t>https://www.datadoghq.com/startups/</t>
  </si>
  <si>
    <t>CoSTAR Emerge-AI</t>
  </si>
  <si>
    <t>'No equity taken and no application fees ‚Äî a genuinely risk-free opportunity'</t>
  </si>
  <si>
    <t>Requires 'a minimum of two people engaged'</t>
  </si>
  <si>
    <t>Team based in the UK; all project activity carried out in the UK</t>
  </si>
  <si>
    <t>'All applicants must be a UK-registered UK business of a minimum of two people engaged' ‚Äî an entity wall AND a two-person wall AND a UK-operations requirement, plus a creative-industries connection. Genuinely blocked on multiple independent grounds.</t>
  </si>
  <si>
    <t>https://www.costarnetwork.co.uk/calls/emerge-AI</t>
  </si>
  <si>
    <t>Closes in 4 days on an open form. Forms are editable; file and refine.</t>
  </si>
  <si>
    <t>Tech Nation Rising Stars</t>
  </si>
  <si>
    <t>UK ‚Äî national</t>
  </si>
  <si>
    <t>A pitch competition, not an equity programme; any investment prize would carry its own terms.</t>
  </si>
  <si>
    <t>Moderate ‚Äî judged on value proposition, competitive advantage, current traction, founder/team experience, and potential to scale.</t>
  </si>
  <si>
    <t>UK. Finalists pitch live at London Tech Week.</t>
  </si>
  <si>
    <t>https://ff.co/rising-stars/</t>
  </si>
  <si>
    <t>JETRO Global Startup Acceleration Program (GSAP)</t>
  </si>
  <si>
    <t>Japan</t>
  </si>
  <si>
    <t>Non-dilutive - JETRO takes no equity.</t>
  </si>
  <si>
    <t>Not stated. Requirement 4 asks that key personnel with decision-making authority participate, which a solo founder satisfies.</t>
  </si>
  <si>
    <t>Application form plus a PITCH VIDEO, in English. Also requires the ability to "conduct business negotiations in English" and agreement to post-programme surveys.</t>
  </si>
  <si>
    <t>Japan-located company. Tokyo bootcamp plus a San Francisco immersion week for the B2B course.</t>
  </si>
  <si>
    <t>YES - a genuine eligibility wall, and it is requirement 1 of 7 in JETRO's own published list: "The startup company must be located in Japan." There is no route in for a Bangalore-based founder with no Japanese entity. This is JETRO's own criterion, not an inference.</t>
  </si>
  <si>
    <t>https://www.jetro.go.jp/en/startup/acceleration/gsap.html</t>
  </si>
  <si>
    <t>AWS Activate</t>
  </si>
  <si>
    <t>Free, no equity</t>
  </si>
  <si>
    <t>Self-serve tier open to any builder</t>
  </si>
  <si>
    <t>https://aws.amazon.com/startups/</t>
  </si>
  <si>
    <t>STATION F Founders Program</t>
  </si>
  <si>
    <t>No published equity take; a paid desk fee instead, starting from 259 EUR per desk per month</t>
  </si>
  <si>
    <t>No published team-size rule; audience stated as tech startups, early stage</t>
  </si>
  <si>
    <t>Roughly 2 to 4 hours; multi-step Fillout form, no video or references stated on the public landing</t>
  </si>
  <si>
    <t>STATION F, Paris. Format is hybrid and minimum presence is required.</t>
  </si>
  <si>
    <t>https://form.fillout.com/t/3cQWxL9oo1eu</t>
  </si>
  <si>
    <t>Innovate UK Smart Grants</t>
  </si>
  <si>
    <t>Not applicable.</t>
  </si>
  <si>
    <t>20‚Äì40h.</t>
  </si>
  <si>
    <t>UK-registered business carrying out project activities in the UK.</t>
  </si>
  <si>
    <t>EIC Accelerator Open 2026</t>
  </si>
  <si>
    <t>European Union and Horizon Europe associated countries</t>
  </si>
  <si>
    <t>Grant component is non-dilutive; the investment component is optional and separately negotiated</t>
  </si>
  <si>
    <t>Not addressed ‚Äî the applicant is the company or the natural person, not a team</t>
  </si>
  <si>
    <t>Very high. Short proposal first, then a 20-page form, pitch deck PDF, implementation plan, financial information, Letters of Intent, Freedom-to-Operate analysis and a 3-minute video pitch. Then a technology expert interview and an EIC Jury interview. Weeks of work.</t>
  </si>
  <si>
    <t>Applicants must be from EU Member States or Horizon Europe associated countries. This is a residency and establishment gate, not merely a preference.</t>
  </si>
  <si>
    <t>Establishment in an EU Member State or Horizon Europe associated country is required. The founder is currently in Bangalore with no EU entity, so this is unreachable without relocating and establishing there first.</t>
  </si>
  <si>
    <t>https://eic.ec.europa.eu/eic-funding-opportunities/eic-accelerator_en</t>
  </si>
  <si>
    <t>The AI Collective (formerly The GenAI Collective)</t>
  </si>
  <si>
    <t>Global - 150+ chapters across 40+ countries including Bengaluru, India</t>
  </si>
  <si>
    <t>Free. "We are a volunteer, non-profit organization. All proceeds solely fund future efforts for the benefit of this incredible community."</t>
  </si>
  <si>
    <t>Not founder-gated at all.</t>
  </si>
  <si>
    <t>Minutes. Free signup.</t>
  </si>
  <si>
    <t>None - chapter-based, and there is a Bengaluru chapter.</t>
  </si>
  <si>
    <t>https://www.aicollective.com/</t>
  </si>
  <si>
    <t>Product-Led Alliance</t>
  </si>
  <si>
    <t>Global (online) with in-person summits</t>
  </si>
  <si>
    <t>Free Insider tier. Pro is $42/month billed annually; Pro+ is $1,999/year.</t>
  </si>
  <si>
    <t>Minutes for the free tier.</t>
  </si>
  <si>
    <t>https://www.productledalliance.com/join-the-pla-slack-community/</t>
  </si>
  <si>
    <t>StartupYard Remote Lab</t>
  </si>
  <si>
    <t>Prague, Czech Republic - programme fully remote</t>
  </si>
  <si>
    <t>not published on the page</t>
  </si>
  <si>
    <t>None. Page states the programme is 'fully remote' with 'access to world-class mentors and resources from anywhere, without the need to relocate'.</t>
  </si>
  <si>
    <t>https://startupyard.com/apply-to-startupyard-remote-lab/</t>
  </si>
  <si>
    <t>AI Tinkerers</t>
  </si>
  <si>
    <t>Global ‚Äî 252-268 city chapters including Bangalore</t>
  </si>
  <si>
    <t>None. Free.</t>
  </si>
  <si>
    <t>Minimal. RSVP to attend; a short pitch to secure a demo slot.</t>
  </si>
  <si>
    <t>None ‚Äî attend a local chapter. Bangalore is covered.</t>
  </si>
  <si>
    <t>https://aitinkerers.org/all_cities</t>
  </si>
  <si>
    <t>Unshackled Ventures</t>
  </si>
  <si>
    <t>USA (immigrant founders)</t>
  </si>
  <si>
    <t>Backs individual technical founders "pre-product, pre-traction, pre-revenue" - solo-compatible</t>
  </si>
  <si>
    <t>Under 1 hour - a pitch form.</t>
  </si>
  <si>
    <t>US-oriented. U-Labs holds in-person sessions in NYC.</t>
  </si>
  <si>
    <t>https://unshackledventurespitchus.lovable.app</t>
  </si>
  <si>
    <t>NIY funding (Young Innovative Company)</t>
  </si>
  <si>
    <t>Finland</t>
  </si>
  <si>
    <t>Non-dilutive grant, but requires 50% company co-funding of total project costs in each phase.</t>
  </si>
  <si>
    <t>Heavy ‚Äî est. 25-40 hours plus matched funding evidence.</t>
  </si>
  <si>
    <t>Finland; company registered in Finland and typically less than 5 years old.</t>
  </si>
  <si>
    <t>none confirmed; the 50% co-funding requirement is the practical barrier</t>
  </si>
  <si>
    <t>https://www.businessfinland.fi/en/for-finnish-customers/services/funding/niy-companies</t>
  </si>
  <si>
    <t>Google for Startups Cloud Program (incl. AI-first tier)</t>
  </si>
  <si>
    <t>Reported under 15 min. Founder has a Google account, so the sign-in gate is passable - phase 2 should log in and read the real form.</t>
  </si>
  <si>
    <t>None known</t>
  </si>
  <si>
    <t>https://cloud.google.com/startup/apply</t>
  </si>
  <si>
    <t>Modal Startup Program</t>
  </si>
  <si>
    <t>~20 min form asking funding information and use case</t>
  </si>
  <si>
    <t>Seed-to-Series-A tier requires 'Raised any amount of VC funding from our VC partner network' OR 'Raised VC funding &gt;$1m from any fund'. A self-funded founder with no raise meets neither condition. This is a genuine eligibility wall unless YC acceptance lands (YC is listed in Modal's partner network).</t>
  </si>
  <si>
    <t>https://modal.com/startups#apply</t>
  </si>
  <si>
    <t>Vercel for Startups</t>
  </si>
  <si>
    <t>~20 min, but requires a screenshot of a partner dashboard as proof</t>
  </si>
  <si>
    <t>Two stacked walls: 'Startup must be affiliated with an approved Startups Partner' AND 'must have raised a Series A or less, and must apply within 12 months from their most recent funding round'. With no raise there is no round date to apply within, and proof of partner affiliation is required as a dashboard screenshot.</t>
  </si>
  <si>
    <t>https://vercel.com/startups/credits</t>
  </si>
  <si>
    <t>Antler Australia / New Zealand Residency</t>
  </si>
  <si>
    <t>Australia (Sydney, Melbourne, Brisbane)</t>
  </si>
  <si>
    <t>Not published for ANZ on the pages read.</t>
  </si>
  <si>
    <t>THE MOST EXPLICIT SOLO EXCLUSION FOUND ANYWHERE IN THIS SWEEP, and it is Antler's own wording, not an aggregator's: "We don't invest in solo founders." The page explains the model: "Most people join Antler solo, but the goal of the residency is to form a complementary founding team." Per screening rule 3 this is not a legal wall and the row stays, but the mechanism is the problem, not the sentence - the residency exists to pair you with a co-founder, which for a founder 5,172 commits into a product means either abandoning it or grafting a stranger onto it.</t>
  </si>
  <si>
    <t>Antler standard application.</t>
  </si>
  <si>
    <t>Full-time in-person in Australia. VISA QUESTION UNRESOLVED AT SOURCE: the Australia location page publishes nothing on visas, work rights, sponsorship or citizenship. Antler MENAP answers it for its own region ("Founders are responsible for arranging and coordinating their own visas"), and if the same principle applies, an Indian passport holder would need to arrange Australian work rights himself - which, unlike a UAE or Saudi tourist visa, is not routinely obtainable. Treat this as the open question it is, not as a confirmed blocker.</t>
  </si>
  <si>
    <t>https://www.antler.co/location/australia</t>
  </si>
  <si>
    <t>Sequoia Open Source Fellowship (OSS)</t>
  </si>
  <si>
    <t>Global - explicitly location agnostic</t>
  </si>
  <si>
    <t>Zero. "We do not take any equity or consider this to be an investment in any future company." "Any code written before or after the program is yours to decide what to do with."</t>
  </si>
  <si>
    <t>Individual fellowship - solo is the default form.</t>
  </si>
  <si>
    <t>Under an hour. "simply complete our brief questionnaire and we'll be in touch if your project is a good fit."</t>
  </si>
  <si>
    <t>None. "No, it is location agnostic. You can live and work from anywhere. Digital nomads welcome!" No travel required.</t>
  </si>
  <si>
    <t>https://www.sequoiacap.com/oss/</t>
  </si>
  <si>
    <t>Startup Denmark</t>
  </si>
  <si>
    <t>Denmark</t>
  </si>
  <si>
    <t>Explicitly accepts individuals: 'The scheme can be used by both individuals and teams of up to 3 people.'</t>
  </si>
  <si>
    <t>Business plan submission to the expert panel (est. 15-25 hours), then a separate SIRI permit application with a DKK 1,900 fee and proof of funds for the first year.</t>
  </si>
  <si>
    <t>Denmark. 'You must play an active part in running the business ... If you have only economic or financial interests in the business ... you cannot be granted a permit.'</t>
  </si>
  <si>
    <t>https://startupdenmarkprogramme.dk/</t>
  </si>
  <si>
    <t>Sting Core</t>
  </si>
  <si>
    <t>Convertible note plus a Sting 2% warrant.</t>
  </si>
  <si>
    <t>Published rule: 'A founding team of minimum two people.' A stated criterion, not confirmed as a form-level gate.</t>
  </si>
  <si>
    <t>Application plus pitch via app.sting.co, est. 4-8 hours.</t>
  </si>
  <si>
    <t>'Incorporated Swedish AB, team presence in Stockholm during program' ‚Äî stated as a programme condition. Verify in phase 2 whether the AB must exist to SUBMIT or only to join.</t>
  </si>
  <si>
    <t>https://app.sting.co/</t>
  </si>
  <si>
    <t>Halcyon Fellowship</t>
  </si>
  <si>
    <t>United States (Washington DC), global applicants</t>
  </si>
  <si>
    <t>Non-dilutive; Halcyon historically takes no equity.</t>
  </si>
  <si>
    <t>Individual fellowship; solo is normal.</t>
  </si>
  <si>
    <t>Unverified.</t>
  </si>
  <si>
    <t>Residential in Washington DC for the incubator track ‚Äî requires US entry and relocation.</t>
  </si>
  <si>
    <t>https://halcyonhouse.org/</t>
  </si>
  <si>
    <t>Industry Growth Program</t>
  </si>
  <si>
    <t>Australia</t>
  </si>
  <si>
    <t>Non-dilutive government grant</t>
  </si>
  <si>
    <t>High. Two-stage process beginning with the Advisory Service.</t>
  </si>
  <si>
    <t>The programme funds Australian businesses and is scoped to National Reconstruction Fund priority areas, described as helping 'build Australia's manufacturing capability for the future'. A software product-development platform sits outside those priorities, and there is no Australian entity.</t>
  </si>
  <si>
    <t>https://business.gov.au/grants-and-programs/industry-growth-program</t>
  </si>
  <si>
    <t>antx.vc ‚Äî W26</t>
  </si>
  <si>
    <t>Not stated on the page (remote-shaped)</t>
  </si>
  <si>
    <t>Described as a VC accelerator; terms not published</t>
  </si>
  <si>
    <t>Solo-only by design: 'A VC accelerator for solo founders who build with AI.'</t>
  </si>
  <si>
    <t>'No pitch deck required. We review every application and respond within 48 hours.' Very low.</t>
  </si>
  <si>
    <t>https://antx.vc/</t>
  </si>
  <si>
    <t>AI Fund - Build With Us</t>
  </si>
  <si>
    <t>Palo Alto, California, USA</t>
  </si>
  <si>
    <t>Venture studio model - co-founding, so equity is typically substantial. Verify before engaging.</t>
  </si>
  <si>
    <t>Studio model built around co-founding with entrepreneurs - structurally suited to solo founders seeking a co-founder</t>
  </si>
  <si>
    <t>https://aifund.ai/</t>
  </si>
  <si>
    <t>Ideation (Tnufa) Incentive Program - Startup Fund</t>
  </si>
  <si>
    <t>Israel</t>
  </si>
  <si>
    <t>Conditional grant, non-dilutive. Page states entrepreneurs do not have to 'give up rights to the project'.</t>
  </si>
  <si>
    <t>Aimed at individual entrepreneurs. The page names the audience as 'Entrepreneurs' and 'New Israeli startup companies', and notes 'The entrepreneurs do not have to leave their current job to establish a company as a condition for receiving the support'.</t>
  </si>
  <si>
    <t>10-15 hours estimated for a government grant application with budget breakdown</t>
  </si>
  <si>
    <t>Israeli nexus is implied throughout ('New Israeli startup companies'). The Authority runs a separate Innovation Visa route for foreign technology entrepreneurs.</t>
  </si>
  <si>
    <t>https://innovationisrael.org.il/en/programs/ideation-tnufa-incentive-program/</t>
  </si>
  <si>
    <t>Atlassian for Startups</t>
  </si>
  <si>
    <t>No team-size requirement; 50 seats is far beyond a solo founder's need</t>
  </si>
  <si>
    <t>Quoted requirement: 'VC funded or associated with a partner accelerator and/or incubator'. Also must not be an existing paid customer and must not have raised more than US$10 million.</t>
  </si>
  <si>
    <t>https://www.atlassian.com/software/views/startups-request</t>
  </si>
  <si>
    <t>Founders, Inc. (F.inc) - Campus</t>
  </si>
  <si>
    <t>US (Fort Mason, San Francisco)</t>
  </si>
  <si>
    <t>Investment terms not published. "We're the first check in founders solving hard problems in emerging domains."</t>
  </si>
  <si>
    <t>No stated team requirement. All published selection criteria are individual-framed.</t>
  </si>
  <si>
    <t>~1-2 hours. Explicitly no deck and no pitch: "We don't do decks or pitches. At all." Response within a month.</t>
  </si>
  <si>
    <t>Fort Mason, San Francisco - 42,000 sq ft campus. Campus access is portfolio-or-prospective-portfolio only: "Our spaces are not open to the general public or through paid membership."</t>
  </si>
  <si>
    <t>New Frontiers</t>
  </si>
  <si>
    <t>Ireland ‚Äî national, multiple delivery locations</t>
  </si>
  <si>
    <t>EQUITY-FREE ‚Äî "the New Frontiers programme does not take equity in your business".</t>
  </si>
  <si>
    <t>Aimed at individual founders ‚Äî explicitly for people "new to business" or with "experience in a completely different industry". Solo-friendly by design.</t>
  </si>
  <si>
    <t>Moderate ‚Äî application form plus an in-person interview at the delivery location.</t>
  </si>
  <si>
    <t>HARD: "You must be over 18 years old and based in, and intend to run your business in, Ireland" (secondary summary of the eligibility page ‚Äî verify).</t>
  </si>
  <si>
    <t>https://www.newfrontiers.ie/</t>
  </si>
  <si>
    <t>AREA 01</t>
  </si>
  <si>
    <t>Still not published after verification. Neither cost nor equity appears anywhere on the site.</t>
  </si>
  <si>
    <t>Built around individual technical builders rather than teams: "You can ship software independently" and "You write and launch functional code without needing a technical co-founder." No team requirement stated.</t>
  </si>
  <si>
    <t>Minutes. It is a waitlist form, not an application.</t>
  </si>
  <si>
    <t>28 days full-time at "The Villa, Indiranagar, Bangalore, India". "You can commit full-time for 28 days" with no side work. The founder is already in Bangalore.</t>
  </si>
  <si>
    <t>Stripe startup programme (fee credits)</t>
  </si>
  <si>
    <t>~15 min via the Stripe dashboard</t>
  </si>
  <si>
    <t>Programme is 'Designed for venture-backed businesses that are just getting started'. Separately, a Stripe account cannot be activated to accept payments without a legal entity and bank account, so this is one of the few genuine entity walls in the lane.</t>
  </si>
  <si>
    <t>https://dashboard.stripe.com/register/startup?partner_code=PUBLIC&amp;partner_page=PUBLIC</t>
  </si>
  <si>
    <t>Endless Frontier Labs</t>
  </si>
  <si>
    <t>Listed by aggregators as non-dilutive; not confirmed on the page</t>
  </si>
  <si>
    <t>SurveyMonkey Apply portal. Unverified.</t>
  </si>
  <si>
    <t>NYU-affiliated, NYC-centred; remote participation not confirmed</t>
  </si>
  <si>
    <t>https://nyuefl.smapply.io/</t>
  </si>
  <si>
    <t>ZERO TO 1 Accelerator</t>
  </si>
  <si>
    <t>Thailand (Bangkok), primarily in person</t>
  </si>
  <si>
    <t>'Do I need to give equity to participate? No. Participating in the program is completely free of charge.'</t>
  </si>
  <si>
    <t>Explicit: 'Can solo founders apply? Yes. Solo founders are welcome. However, we recommend having a co-founder.'</t>
  </si>
  <si>
    <t>Not stated; 7-12 structured hours per week once in</t>
  </si>
  <si>
    <t>'primarily delivered in-person in Bangkok, with core sessions, workshops, and community interactions happening on-site'</t>
  </si>
  <si>
    <t>https://www.zeroto1accelerator.com/faq</t>
  </si>
  <si>
    <t>Fighters Program</t>
  </si>
  <si>
    <t>Europe ‚Äî Paris</t>
  </si>
  <si>
    <t>Not established in this pass</t>
  </si>
  <si>
    <t>Described as STATION F's programme for unconventional founders from all backgrounds ‚Äî no team rule found</t>
  </si>
  <si>
    <t>Station F, Paris</t>
  </si>
  <si>
    <t>https://stationf.co/programs</t>
  </si>
  <si>
    <t>Intel Liftoff for AI Startups</t>
  </si>
  <si>
    <t>Global / virtual (US-headquartered)</t>
  </si>
  <si>
    <t>Non-dilutive - "free, virtual, and open to early-stage AI startups worldwide with no cohorts, no equity, and no limits" (per Intel community blog, not a programme page)</t>
  </si>
  <si>
    <t>Not determinable - no application route reachable</t>
  </si>
  <si>
    <t>None - virtual and global</t>
  </si>
  <si>
    <t>https://www.intel.com/content/www/us/en/developer/tools/oneapi/liftoff.html</t>
  </si>
  <si>
    <t>Sundai Club / Hacker Combinator</t>
  </si>
  <si>
    <t>Boston / Cambridge, Massachusetts, USA, plus global chapters</t>
  </si>
  <si>
    <t>None - no equity taken</t>
  </si>
  <si>
    <t>Individual membership model - solo by default</t>
  </si>
  <si>
    <t>Very low, but not verifiable behind the sign-in gate</t>
  </si>
  <si>
    <t>Boston/Cambridge for the core community; global chapters exist</t>
  </si>
  <si>
    <t>https://www.sundai.club/join</t>
  </si>
  <si>
    <t>Rockstart Emerging Tech</t>
  </si>
  <si>
    <t>Netherlands (Amsterdam) and Denmark (Copenhagen)</t>
  </si>
  <si>
    <t>Typeform, est. 1-2 hours.</t>
  </si>
  <si>
    <t>Amsterdam, Copenhagen, Bogot√°. No applicant-location filter published.</t>
  </si>
  <si>
    <t>https://rockstart1.typeform.com/to/qoieotFj</t>
  </si>
  <si>
    <t>Workers Launchpad Cohort 7</t>
  </si>
  <si>
    <t>Cloudflare itself takes no equity; any investment comes from the participating VCs on their own terms</t>
  </si>
  <si>
    <t>Moderate</t>
  </si>
  <si>
    <t>None identified - the programme is remote</t>
  </si>
  <si>
    <t>https://www.cloudflare.com/lp/workers-launchpad/</t>
  </si>
  <si>
    <t>Women TechEU (third edition, 2026-2028)</t>
  </si>
  <si>
    <t>EU + Horizon Europe Associated Countries</t>
  </si>
  <si>
    <t>Solo-friendly in structure, but the gender criterion is dispositive.</t>
  </si>
  <si>
    <t>Moderate two-stage process.</t>
  </si>
  <si>
    <t>European startups (EU + Horizon Europe Associated Countries).</t>
  </si>
  <si>
    <t>Gender eligibility wall. The programme funds "women-led early-stage deep tech startups" and the EIC describes it as "equity-free grants for women founders in deep tech". The founder does not meet the eligibility criterion. This is a published eligibility requirement, not a preference.</t>
  </si>
  <si>
    <t>https://womentecheurope.eu/active-calls/</t>
  </si>
  <si>
    <t>MINT</t>
  </si>
  <si>
    <t>New York City / San Francisco, USA</t>
  </si>
  <si>
    <t>NYC/SF</t>
  </si>
  <si>
    <t>none identified, but fintech-only thesis is a soft eligibility problem</t>
  </si>
  <si>
    <t>https://www.btv.vc/the-mint</t>
  </si>
  <si>
    <t>Cloudflare for Startups</t>
  </si>
  <si>
    <t>~30 min. No video. Needs a public website and an active LinkedIn, X or GitHub presence.</t>
  </si>
  <si>
    <t>Page criteria state the company must be 'incorporated no more than 10 years ago', which implies incorporation is required to qualify. Verify in phase 2 whether the form actually blocks submission without an entity - the bootstrapped Tier 3 exists specifically for self-funded applicants, so the gate may be softer than the wording.</t>
  </si>
  <si>
    <t>https://www.cloudflare.com/lp/startups/</t>
  </si>
  <si>
    <t>Frontier Program</t>
  </si>
  <si>
    <t>$250k on an uncapped MFN SAFE</t>
  </si>
  <si>
    <t>'A residency for idea-stage founders' with cohorts of five or six peers ‚Äî no team requirement stated</t>
  </si>
  <si>
    <t>Airtree is Sydney-based; whether relocation is required was not established</t>
  </si>
  <si>
    <t>https://www.airtree.vc/</t>
  </si>
  <si>
    <t>SFC Capital</t>
  </si>
  <si>
    <t>Equity, SEIS/EIS-compliant.</t>
  </si>
  <si>
    <t>~1‚Äì2h form plus deck.</t>
  </si>
  <si>
    <t>UK startups only ‚Äî SFC deploys through SEIS and EIS funds, which are UK tax schemes.</t>
  </si>
  <si>
    <t>https://sfccapital.com/raise</t>
  </si>
  <si>
    <t>Hampton</t>
  </si>
  <si>
    <t>United States and international chapter cities</t>
  </si>
  <si>
    <t>None. Membership dues only.</t>
  </si>
  <si>
    <t>Not stated. Membership is individual.</t>
  </si>
  <si>
    <t>Application, interview, community veto, founder sign-off.</t>
  </si>
  <si>
    <t>'You must live within one of our Chapter Cities.'</t>
  </si>
  <si>
    <t>Revenue or funding threshold. 'Your current business(es) must be generating &gt;$3M in revenue, OR you must have raised &gt;$3M in venture capital, OR you must have had a previously successful exit (&gt;$10M).' With zero revenue and no raise, none of the three is met. The first screen explicitly checks 'Is your company doing at least $3M in revenue?'</t>
  </si>
  <si>
    <t>https://www.joinhampton.com/faq</t>
  </si>
  <si>
    <t>Innofounder ‚Äî Round 2 2026</t>
  </si>
  <si>
    <t>Explicitly welcomes solo: 'You can apply individually or in a team of up to 3 founders.'</t>
  </si>
  <si>
    <t>e-grant.dk submission, likely 8-15 hours. Requires proof of completed higher education.</t>
  </si>
  <si>
    <t>Denmark. 'You must have established a company with a Danish CVR number when the Innofounder process starts' ‚Äî i.e. at programme start, not at submission.</t>
  </si>
  <si>
    <t>Residence permit not held: 'Non-EU/EEA citizens need a Start-up Denmark visa or Danish education/work history.' The founder is an Indian national in Bangalore with a TUM (German) degree, not Danish. This is a genuine permit wall at application time ‚Äî but it is unlocked by the separate Startup Denmark scheme listed below, which is itself open on a rolling basis.</t>
  </si>
  <si>
    <t>https://www.e-grant.dk/</t>
  </si>
  <si>
    <t>Sharjah Startup Studio (S3) and Access Sharjah Challenge</t>
  </si>
  <si>
    <t>"Participate in an equity-free program with no participation charges." Equity-free and fee-free, which is rare.</t>
  </si>
  <si>
    <t>Not stated. The published requirement is "A dedicated full-time founder and development team" - team-leaning language without a founder-count rule.</t>
  </si>
  <si>
    <t>Not established - no current cycle is published to describe.</t>
  </si>
  <si>
    <t>Sharjah, UAE, and the published criterion is a commitment rather than a pre-existing presence: "Committed to operating and expanding within Sharjah and across the UAE".</t>
  </si>
  <si>
    <t>Fireworks AI Startup Program</t>
  </si>
  <si>
    <t>~20 min. Contact startups@fireworks.ai for eligibility questions.</t>
  </si>
  <si>
    <t>Two stacked walls quoted from the page: 'Be a registered company with a functional website', 'Operate as a privately held, for-profit entity', and 'Venture backed startups with &gt;$500k in funding'. Registration AND a $500k+ raise.</t>
  </si>
  <si>
    <t>https://fireworks.ai/startups</t>
  </si>
  <si>
    <t>Nebius for Startups / AI Lift</t>
  </si>
  <si>
    <t>Global (EU-headquartered infrastructure)</t>
  </si>
  <si>
    <t>Via a VC partner's platform team, not a direct form</t>
  </si>
  <si>
    <t>Compound wall: 'Acceptance is by application through a Nebius VC partner only', minimum $5M+ funding from approved VC partners, and incorporated fewer than 5 years ago. A self-funded pre-entity founder fails all three.</t>
  </si>
  <si>
    <t>https://nebius.com/startups</t>
  </si>
  <si>
    <t>Seedcamp</t>
  </si>
  <si>
    <t>Europe (London-based)</t>
  </si>
  <si>
    <t>7-7.5% per aggregators</t>
  </si>
  <si>
    <t>Europe-focused</t>
  </si>
  <si>
    <t>https://seedcamp.com/</t>
  </si>
  <si>
    <t>Tier 4</t>
  </si>
  <si>
    <t>Creative Destruction Lab ‚Äî Oxford (Artificial Intelligence stream)</t>
  </si>
  <si>
    <t>UK ‚Äî Oxford</t>
  </si>
  <si>
    <t>CDL takes no equity for programme participation.</t>
  </si>
  <si>
    <t>No published solo bar; the model is objective-setting sessions with mentors, which works for a solo founder.</t>
  </si>
  <si>
    <t>Moderate written application.</t>
  </si>
  <si>
    <t>Oxford ‚Äî four full-day sessions across nine months, plus a Super Session.</t>
  </si>
  <si>
    <t>https://creativedestructionlab.com/apply/</t>
  </si>
  <si>
    <t>Ignite Next</t>
  </si>
  <si>
    <t>Europe (successor to the London-based Intel Ignite)</t>
  </si>
  <si>
    <t>NON-DILUTIVE and "founder-first".</t>
  </si>
  <si>
    <t>Europe.</t>
  </si>
  <si>
    <t>https://ignitenext.com/</t>
  </si>
  <si>
    <t>Cyberport Incubation Programme</t>
  </si>
  <si>
    <t>Equity-free financial assistance - one of the better non-dilutive numbers in the lane.</t>
  </si>
  <si>
    <t>Not stated. Requires at least one local authorised representative physically working in Hong Kong.</t>
  </si>
  <si>
    <t>Online application, no fee. Prior intakes ran on a quarterly rhythm: the March 2026 intake closed 2 January 2026 and the June 2026 intake closed 1 April 2026, implying a next window would have been announced by now if the revamp were not in progress.</t>
  </si>
  <si>
    <t>Hong Kong, with at least one authorised representative physically working there.</t>
  </si>
  <si>
    <t>Requires a Hong Kong incorporated company, with a softening clause worth noting: the published criterion is a registered digital tech company "(or in progress of incorporation)" incorporated in Hong Kong less than 7 years before the deadline, founders holding 51%+, and a local representative in HK. A Hong Kong entity does NOT collide with the founder's Indian-entity ruling - different jurisdiction - and the in-progress clause means a founder could file while an HK company is being formed. Softer than it first appears, but still an entity gate.</t>
  </si>
  <si>
    <t>https://www.cyberport.hk/en/entrepreneurship/cyberport_incubation_programme/</t>
  </si>
  <si>
    <t>Enterprise Europe Network (EEN)</t>
  </si>
  <si>
    <t>EU + more than 60 countries worldwide</t>
  </si>
  <si>
    <t>Free, non-dilutive.</t>
  </si>
  <si>
    <t>Not a factor.</t>
  </si>
  <si>
    <t>Minimal ‚Äî contact a local office.</t>
  </si>
  <si>
    <t>Primarily EU and associated-country SMEs, but the network operates in 60+ countries and the eligibility of a non-EU applicant was not established. Worth one phase-2 question to an Indian or German EEN contact point.</t>
  </si>
  <si>
    <t>None established. Whether a non-EU applicant can be served was not resolved and is the open question.</t>
  </si>
  <si>
    <t>https://een.ec.europa.eu/</t>
  </si>
  <si>
    <t>HubSpot for Startups</t>
  </si>
  <si>
    <t>Tier 1 (90%) requires either 'Raised Pre-seed, Seed or Series A funding, but not Series B or later' OR affiliation with an approved HubSpot for Startups partner, with venture funding verified via Crunchbase or Pitchbook. Tier 2 (30%) requires association with an approved entrepreneurial organization. A self-funded, unaffiliated founder meets neither.</t>
  </si>
  <si>
    <t>https://app.hubspot.com/signup-hubspot/hubspot-for-startups</t>
  </si>
  <si>
    <t>EIC Accelerator Challenges 2026</t>
  </si>
  <si>
    <t>Grant non-dilutive; equity optional.</t>
  </si>
  <si>
    <t>Same as Accelerator Open.</t>
  </si>
  <si>
    <t>Not a legal wall, but the five 2026 challenge themes are all outside this company's domain, so no submittable topic exists.</t>
  </si>
  <si>
    <t>Zinc Venture Builder</t>
  </si>
  <si>
    <t>Equity investment in the newly formed company. Terms unverified.</t>
  </si>
  <si>
    <t>Individual-first: participants are selected as individuals and find co-founders inside the programme.</t>
  </si>
  <si>
    <t>Relocation to London for up to a year. Zinc endorses the UK Start-up/Innovator visa ‚Äî a second UK immigration route alongside GEP.</t>
  </si>
  <si>
    <t>https://zinc.vc/</t>
  </si>
  <si>
    <t>HomeLab Accelerator ‚Äî Cohort 6</t>
  </si>
  <si>
    <t>GLOBAL ‚Äî virtual, 16 weeks (US, Latin America, Europe, Asia)</t>
  </si>
  <si>
    <t>CHARGES AN APPLICATION FEE, reduced for those applying before the 2026-08-25 early deadline</t>
  </si>
  <si>
    <t>Global and virtual ‚Äî 'the virtual format makes it accessible to global founders'</t>
  </si>
  <si>
    <t>https://www.homelab.vc/</t>
  </si>
  <si>
    <t>Eurostars 3 ‚Äî Call 11</t>
  </si>
  <si>
    <t>Pan-European + Eurostars partner countries (incl. Canada, Singapore, South Africa, South Korea, UK, Israel, T√ºrkiye)</t>
  </si>
  <si>
    <t>Non-dilutive national grant funding.</t>
  </si>
  <si>
    <t>No team-size rule about founders; the binding constraint is entities, not people. A one-person SME can lead if it is an SME in a Eurostars country.</t>
  </si>
  <si>
    <t>High ‚Äî collaborative R&amp;D proposal plus national funding body pre-engagement, and the page warns of additional national eligibility criteria. 60+ hours plus partner search lead time.</t>
  </si>
  <si>
    <t>Lead must be an SME in a Eurostars country; at least one partner from an EU or Horizon Europe Associated Country. Organisations from non-Eurostars countries may participate only by self-funding their own costs.</t>
  </si>
  <si>
    <t>Two walls stack. (1) "The project consortium is led by an innovative SME from a Eurostars country" ‚Äî India is not on the 38-entry Eurostars country list shown on the page. (2) "The project consortium is composed of at least two entities that are independent of one another" from "at least two Eurostars countries". So this needs an incorporated SME in a Eurostars country PLUS a second independent partner in another country. Not reachable solo, pre-incorporation, from Bangalore.</t>
  </si>
  <si>
    <t>https://myeurekaproject.org/</t>
  </si>
  <si>
    <t>Enterprise Fellowships</t>
  </si>
  <si>
    <t>'As a charity, we offer funding for a year alongside this comprehensive support completely free: no fees, no equity, and no claim on your IP.'</t>
  </si>
  <si>
    <t>Requires the applicant to 'want to be the CEO' ‚Äî individual-centred, so solo is fine</t>
  </si>
  <si>
    <t>Two-stage; Stage 1 closes 2026-08-25</t>
  </si>
  <si>
    <t>UK universities and research institutes</t>
  </si>
  <si>
    <t>Two published entry routes only: 'university researchers wishing to spin out from UK universities and research institutes' or 'recent graduates who want to develop a startup'. Neither describes the founder ‚Äî TUM is not a UK university and he is not a recent graduate. Also requires 'a protectable engineering or technology innovation... validated in a lab or a relevant environment'.</t>
  </si>
  <si>
    <t>Contrary Research Fellowship</t>
  </si>
  <si>
    <t>Global (remote)</t>
  </si>
  <si>
    <t>None - this is paid work, not investment.</t>
  </si>
  <si>
    <t>Not applicable - individual research role.</t>
  </si>
  <si>
    <t>~2-3 hours. Note the published warning: "If you submit your application towards the beginning of a quarter, it may take several months before you receive a decision."</t>
  </si>
  <si>
    <t>None - remote</t>
  </si>
  <si>
    <t>https://research.contrary.com/fellowship</t>
  </si>
  <si>
    <t>ElevenLabs Grants</t>
  </si>
  <si>
    <t>Zero-equity grant</t>
  </si>
  <si>
    <t>'less than 25 employees at the time of receiving the application' - a solo founder qualifies</t>
  </si>
  <si>
    <t>~20 min. Valid business email required; one application per company.</t>
  </si>
  <si>
    <t>https://elevenlabs.io/grants-application</t>
  </si>
  <si>
    <t>AGI House SF Residency</t>
  </si>
  <si>
    <t>None stated - this is a residency and community, not an investment programme</t>
  </si>
  <si>
    <t>Not stated; individual researchers and founders are the target</t>
  </si>
  <si>
    <t>Under 15 minutes - a short Google Form: name, email, GitHub, Twitter, and a hackathon interest and availability picker.</t>
  </si>
  <si>
    <t>In person, San Francisco Bay Area</t>
  </si>
  <si>
    <t>https://forms.gle/TF6Arjmv7CMM4KUQA</t>
  </si>
  <si>
    <t>Blog-Building Intensive Fellowship</t>
  </si>
  <si>
    <t>Individual writers</t>
  </si>
  <si>
    <t>Written application</t>
  </si>
  <si>
    <t>10-week online programme plus one in-person retreat</t>
  </si>
  <si>
    <t>https://rootsofprogress.org/fellowship/</t>
  </si>
  <si>
    <t>Venture Building Program ‚Äî Fall Cohort 2026</t>
  </si>
  <si>
    <t>Netherlands (Eindhoven)</t>
  </si>
  <si>
    <t>Not published.</t>
  </si>
  <si>
    <t>Individual co-founders are the intended intake ‚Äî HighTechXL actively recruits solo entrepreneurs to match against technologies ('Co-founders Wanted').</t>
  </si>
  <si>
    <t>Co-founder questionnaire, then intro meeting, 1-1 interview, and a final technical interview. Est. 3-5 hours of writing plus interview time.</t>
  </si>
  <si>
    <t>'I don't live in Eindhoven. Can I still join the Program? Yes, you can join the HighTechXL Program from anywhere in the Netherlands.' ‚Äî Netherlands residence is implied.</t>
  </si>
  <si>
    <t>https://www.hightechxl.com/our-program/</t>
  </si>
  <si>
    <t>Enterprise Ireland ‚Äî Pre-Seed Start Fund (PSSF)</t>
  </si>
  <si>
    <t>Ireland</t>
  </si>
  <si>
    <t>Convertible loan converting to 2.5‚Äì5% equity at a future round (aggregator).</t>
  </si>
  <si>
    <t>High: a full business plan, evidenced customer discovery, an export strategy and a working MVP. Aggregators say applicants should have "3 to 5 documented customer/pilot conversations".</t>
  </si>
  <si>
    <t>Irish-incorporated company; business run from Ireland.</t>
  </si>
  <si>
    <t>https://www.enterprise-ireland.com/en/supports/pre-seed-start-fund</t>
  </si>
  <si>
    <t>GitHub for Startups</t>
  </si>
  <si>
    <t>20 seats for a solo founder is mostly wasted headroom; Copilot and Advanced Security are the real value</t>
  </si>
  <si>
    <t>~20 min</t>
  </si>
  <si>
    <t>Quoted: 'Eligible startups must be affiliated with a GitHub for Startups partner, have received outside funding (up to Series B or earlier)'. Two walls - partner affiliation AND outside funding. Also excluded if previously on GitHub Enterprise in the last six months or if GitHub credits were received before.</t>
  </si>
  <si>
    <t>https://github.com/enterprise/startups/partner-application</t>
  </si>
  <si>
    <t>Gust accelerator directory (multiple live programmes)</t>
  </si>
  <si>
    <t>Varies by programme</t>
  </si>
  <si>
    <t>n/a</t>
  </si>
  <si>
    <t>none - source, not a programme</t>
  </si>
  <si>
    <t>https://gust.com/accelerators/programs</t>
  </si>
  <si>
    <t>Founders Foundation Accelerator</t>
  </si>
  <si>
    <t>Germany (Bielefeld)</t>
  </si>
  <si>
    <t>As a non-profit initiative it takes no shares in the company</t>
  </si>
  <si>
    <t>Published 2+ rule in the programme PDF: at least two potential business founders</t>
  </si>
  <si>
    <t>Application form, then an interview, then a pitch to an exclusive jury, then a decision</t>
  </si>
  <si>
    <t>Bielefeld, full-time, though accelerate.nrw notes remote participation is currently possible. The programme PDF states a willingness to work on site at the Founders Accelerator.</t>
  </si>
  <si>
    <t>https://foundersfoundation.de/</t>
  </si>
  <si>
    <t>Linear for Startups</t>
  </si>
  <si>
    <t>'fewer than 50 employees' - a solo founder qualifies</t>
  </si>
  <si>
    <t>No direct application exists - you request a redemption link from your partner</t>
  </si>
  <si>
    <t>Quoted: 'Only companies affiliated with an official Linear partner can participate.' There is no unaffiliated route - the founder cannot self-apply, only a partner can issue a redemption link.</t>
  </si>
  <si>
    <t>https://linear.app/startups</t>
  </si>
  <si>
    <t>Erasmus for Young Entrepreneurs (SMP-COSME-2026-EYE)</t>
  </si>
  <si>
    <t>EU + participating countries (45 countries listed by the programme)</t>
  </si>
  <si>
    <t>Non-dilutive stipend.</t>
  </si>
  <si>
    <t>Built for individuals. The most explicitly solo-friendly instrument in this lane.</t>
  </si>
  <si>
    <t>Low ‚Äî an online profile and business plan, plus matching with a host.</t>
  </si>
  <si>
    <t>Permanent residence in one of the 45 participating countries.</t>
  </si>
  <si>
    <t>Likely residence wall: the 'new entrepreneur' must be a permanent resident of a participating country. Residence in Bangalore is very likely disqualifying, and this single fact decides the row.</t>
  </si>
  <si>
    <t>https://www.erasmus-entrepreneurs.eu/page.php?cid=19</t>
  </si>
  <si>
    <t>Lithuania Startup Visa</t>
  </si>
  <si>
    <t>Lithuania</t>
  </si>
  <si>
    <t>No team-size requirement. Applicant must play an active managerial role.</t>
  </si>
  <si>
    <t>Business plan in English, est. 10-20 hours. No MVP requirement ‚Äî 'You do not need a working product before applying.' TRP fees ‚Ç¨160 standard / ‚Ç¨320 urgent; subsistence proof ~‚Ç¨1,153/month.</t>
  </si>
  <si>
    <t>Lithuania. UAB incorporation required AFTER endorsement (‚Ç¨1,000 share capital, ‚Ç¨250 paid up); founder must have meaningful Lithuanian presence.</t>
  </si>
  <si>
    <t>https://www.startuplithuania.com/entry-to-lithuania/</t>
  </si>
  <si>
    <t>Residence permit for foreign startups (Startup Visa, facilitator route)</t>
  </si>
  <si>
    <t>None from the state; facilitator terms vary by facilitator.</t>
  </si>
  <si>
    <t>No team-size rule published.</t>
  </si>
  <si>
    <t>Step-by-step plan plus proof of funds, est. 10-20 hours, PLUS the separate effort of getting a facilitator to sign.</t>
  </si>
  <si>
    <t>Netherlands. A signed cooperation agreement with a recognised facilitator is mandatory ‚Äî 'without this cooperation agreement, the application cannot proceed'.</t>
  </si>
  <si>
    <t>https://english.rvo.nl/topics/residence-permit-foreign-startups/facilitator-startups</t>
  </si>
  <si>
    <t>AGI House - Residency and AGI Accelerator</t>
  </si>
  <si>
    <t>US (Hillsborough and San Francisco, California)</t>
  </si>
  <si>
    <t>Not published for the residency. Community membership is open to "all AI enthusiasts".</t>
  </si>
  <si>
    <t>Community profile takes minutes. Residency/accelerator application path unclear - needs verification.</t>
  </si>
  <si>
    <t>Bay Area - Hillsborough house and AGI House SF. Events run up to five times a week in the city.</t>
  </si>
  <si>
    <t>https://agihouse.ai/</t>
  </si>
  <si>
    <t>WorkOS for Startups</t>
  </si>
  <si>
    <t>https://workos.com/startups</t>
  </si>
  <si>
    <t>Maria 01 campus membership</t>
  </si>
  <si>
    <t>None; paid membership.</t>
  </si>
  <si>
    <t>Fresh Membership tier exists 'for those exploring a business idea', which accommodates a solo pre-entity founder.</t>
  </si>
  <si>
    <t>~1 hour.</t>
  </si>
  <si>
    <t>Helsinki campus.</t>
  </si>
  <si>
    <t>https://maria.io/startups/</t>
  </si>
  <si>
    <t>DIFC Innovation Hub startup programmes</t>
  </si>
  <si>
    <t>The community form is long and asks for a business plan, pitch deck, cap table, product roadmap and market research uploads. Several hours, and some fields (cap table) presume an entity.</t>
  </si>
  <si>
    <t>Dubai; DIFC Innovation Hub and the Dubai AI Campus, described as the region's largest AI cluster</t>
  </si>
  <si>
    <t>https://www.innovationhub.difc.ae/join-our-community/as-a-startup</t>
  </si>
  <si>
    <t>XPRIZE active competition portfolio (Water Scarcity, Healthspan, Wildfire)</t>
  </si>
  <si>
    <t>Non-dilutive prize</t>
  </si>
  <si>
    <t>Team-based competitions; individuals may join or form teams</t>
  </si>
  <si>
    <t>Very heavy - multi-year technical competition</t>
  </si>
  <si>
    <t>Domain mismatch across all three - water, longevity and wildfire. No track fits developer or product-lifecycle software.</t>
  </si>
  <si>
    <t>https://pop.xprize.org/prizes</t>
  </si>
  <si>
    <t>DIFC Innovation Hub startup community</t>
  </si>
  <si>
    <t>None stated for community entry. The form asks "Equity Offered" as a free-text field.</t>
  </si>
  <si>
    <t>Not stated. The form asks for Founder Bios as free text, so a solo founder can complete it.</t>
  </si>
  <si>
    <t>8+ hours, and the heaviest form in the entire lane. Roughly 40 fields plus nine document uploads, several of which do not exist yet for a pre-incorporation company: a capital table, a business plan and market research. Several fields also presume an entity, notably Country of Incorporation and Current Capital Table.</t>
  </si>
  <si>
    <t>Dubai. DIFC Innovation Hub and the Dubai AI Campus, described as the region's largest AI cluster.</t>
  </si>
  <si>
    <t>One Million Startups Program</t>
  </si>
  <si>
    <t>Africa and MENA ‚Äî Dubai, Nairobi, Abu Dhabi, Cairo, Casablanca, Lagos, Johannesburg, Cape Town, Accra and others</t>
  </si>
  <si>
    <t>Has a dedicated Solo Founders track ‚Äî the only programme in this sweep with a formal solo-founder category: 'Founders, entrepreneurs and business owners developing new ideas, early-stage projects or local businesses.'</t>
  </si>
  <si>
    <t>Regionally bound to Africa/MENA participant cities</t>
  </si>
  <si>
    <t>https://www.onemillionstartups.com/?pid=guidelines</t>
  </si>
  <si>
    <t>Accelerate Cambridge</t>
  </si>
  <si>
    <t>EQUITY-FREE.</t>
  </si>
  <si>
    <t>PUBLISHED 2+ FOUNDER RULE ‚Äî "Teams must have 2 or more people." A published rule rather than a preference, so stronger than the Antler or BGV cases.</t>
  </si>
  <si>
    <t>Online form plus a 60-SECOND PITCH VIDEO uploaded unlisted to YouTube or password-protected on Vimeo, link emailed to accelerate@jbs.cam.ac.uk.</t>
  </si>
  <si>
    <t>Cambridge; one founder must have a "Cambridge connection" (student, alumni, faculty, staff of the University, or resident of the town).</t>
  </si>
  <si>
    <t>One founder must hold a "Cambridge connection" ‚Äî University student, alumnus, faculty, staff, or resident of Cambridge. No route to acquire this.</t>
  </si>
  <si>
    <t>https://www.jbs.cam.ac.uk/entrepreneurship/programmes/accelerate-cambridge/programmes/apply/</t>
  </si>
  <si>
    <t>America's Seed Fund (NSF SBIR/STTR)</t>
  </si>
  <si>
    <t>United States</t>
  </si>
  <si>
    <t>Fully non-dilutive federal funding</t>
  </si>
  <si>
    <t>Very high. A project pitch, then a full proposal running to weeks of work.</t>
  </si>
  <si>
    <t>SBIR requires a registered US small business concern to submit, including SAM.gov registration, and NSF requires the business to be more than 50% owned by US citizens or permanent residents. The founder is an Indian citizen with no US entity, so the ownership test is a citizenship wall that incorporation alone does not clear. Both claims need confirming against the live eligibility page, which could not be reached.</t>
  </si>
  <si>
    <t>https://seedfund.nsf.gov/</t>
  </si>
  <si>
    <t>Speculative Technologies</t>
  </si>
  <si>
    <t>Non-dilutive, non-profit research</t>
  </si>
  <si>
    <t>https://spec.tech/</t>
  </si>
  <si>
    <t>XF2: Experienced Founders Program, London ‚Äî Fall 2026</t>
  </si>
  <si>
    <t>Not published for this track</t>
  </si>
  <si>
    <t>Individual-based; solo is the default</t>
  </si>
  <si>
    <t>Registration of interest first, then a full application ‚Äî near-zero cost to start</t>
  </si>
  <si>
    <t>London</t>
  </si>
  <si>
    <t>GO AUSTRIA (Global Incubator Network Austria)</t>
  </si>
  <si>
    <t>Austria (Vienna), targeting founders from Asia and India</t>
  </si>
  <si>
    <t>Non-dilutive market-access programme</t>
  </si>
  <si>
    <t>On-site week in Vienna</t>
  </si>
  <si>
    <t>https://www.go-austria.com/</t>
  </si>
  <si>
    <t>Mistral AI Startup Program (Mistralship)</t>
  </si>
  <si>
    <t>Global (France-based)</t>
  </si>
  <si>
    <t>Reported open worldwide, pre-seed to Series A</t>
  </si>
  <si>
    <t>https://mistral.ai/</t>
  </si>
  <si>
    <t>Hugging Face Startup Program</t>
  </si>
  <si>
    <t>https://huggingface.co/enterprise</t>
  </si>
  <si>
    <t>Venture Kick</t>
  </si>
  <si>
    <t>The first CHF 10,000 is a non-repayable grant with a moral pledge to repay on success. The CHF 40,000 and CHF 100,000 tranches are convertible loans converting at the next significant equity round.</t>
  </si>
  <si>
    <t>Not restricted by team size</t>
  </si>
  <si>
    <t>You must plan to establish your company in Switzerland</t>
  </si>
  <si>
    <t>Eligibility requires that you or a co-founder is currently or recently (within six months) affiliated with a Swiss academic institution or research centre, or collaborates with one. A TUM affiliation does not satisfy this. Separately the project must be pre-commercial with no employees and no commercial revenues, and founders must apply before company incorporation.</t>
  </si>
  <si>
    <t>https://www.venturekick.ch/getthekick</t>
  </si>
  <si>
    <t>AI House Incubator (formerly AI2 Incubator)</t>
  </si>
  <si>
    <t>Not stated on any AI House page</t>
  </si>
  <si>
    <t>Not addressed on the page</t>
  </si>
  <si>
    <t>UNDER 30 MINUTES, stated on the form itself: "This form takes about 10-15 minutes to complete." No video or references advertised.</t>
  </si>
  <si>
    <t>Seattle-based organisation; the page does not explicitly restrict founders to Seattle</t>
  </si>
  <si>
    <t>EuroHPC Development Access and Benchmark Access calls</t>
  </si>
  <si>
    <t>EU and Associated Countries</t>
  </si>
  <si>
    <t>Not applicable - proposals are assessed on technical merit, not team composition</t>
  </si>
  <si>
    <t>Several hours - a technical proposal, not a form. Requires an account on the EuroHPC JU Access Portal.</t>
  </si>
  <si>
    <t>Applicants must be established in an EU Member State or Associated Country. This is the binding constraint: the founder is currently in Bangalore with no EU entity, though he is a TUM alumnus, which may open an academic-affiliation route.</t>
  </si>
  <si>
    <t>Geographic establishment in an EU Member State or Associated Country is the likely wall. Verify in phase 2 whether a TUM alumni or host-institution affiliation route exists, since Development and Benchmark Access are the lightest-weight entry points.</t>
  </si>
  <si>
    <t>https://eurohpc-ju.europa.eu/access-our-supercomputers/eurohpc-access-calls_en</t>
  </si>
  <si>
    <t>EIC Pathfinder Challenges 2026</t>
  </si>
  <si>
    <t>EU-level</t>
  </si>
  <si>
    <t>100% non-dilutive grant.</t>
  </si>
  <si>
    <t>Single legal entity may apply for Challenges (unlike Pathfinder Open). No team-size rule, but evaluation rewards multidisciplinary research teams.</t>
  </si>
  <si>
    <t>Very high. Full Horizon Europe RIA proposal, typically 100+ hours, needs research-grade novelty framing.</t>
  </si>
  <si>
    <t>Applicant must be a legal entity established in an EU Member State or Horizon Europe Associated Country.</t>
  </si>
  <si>
    <t>An EU/AC legal entity must exist to submit. There is no equivalent of the Accelerator's non-associated-third-country short-proposal carve-out here.</t>
  </si>
  <si>
    <t>https://eic.ec.europa.eu/eic-funding-opportunities/eic-pathfinder_en</t>
  </si>
  <si>
    <t>EIC Transition 2026 (HORIZON-EIC-2026-TRANSITIONOPEN)</t>
  </si>
  <si>
    <t>100% non-dilutive lump-sum grant.</t>
  </si>
  <si>
    <t>Individual applicants (SMEs, spin-offs, startups, research institutions) or small consortia of max 5 partners are eligible; no team-size rule.</t>
  </si>
  <si>
    <t>High, but moot given the prior-project requirement.</t>
  </si>
  <si>
    <t>EU Member State or Horizon Europe Associated Country.</t>
  </si>
  <si>
    <t>Proposals must build on results already achieved within an eligible prior EU-funded project (EIC Pathfinder, ERC Proof of Concept, Horizon 2020/Europe RIA, European Defence Fund, Research Infrastructures) at TRL 3-4. Supaprod has no prior EU-funded project result to build on, so the applicant is ineligible on the face of the rules ‚Äî a genuine eligibility wall, not a preference.</t>
  </si>
  <si>
    <t>https://ec.europa.eu/info/funding-tenders/opportunities/portal/screen/opportunities/topic-details/HORIZON-EIC-2026-TRANSITIONOPEN</t>
  </si>
  <si>
    <t>The Residency ‚Äî Fall 2026 deep tech cohort and 'Delta' online programme</t>
  </si>
  <si>
    <t>US ‚Äî San Francisco (14 houses across four continents, including Bangalore)</t>
  </si>
  <si>
    <t>Currently no equity; the company has publicly discussed moving to an equity model</t>
  </si>
  <si>
    <t>Individual residents; solo is normal</t>
  </si>
  <si>
    <t>Live-in residency, San Francisco (plus partner houses including Bangalore)</t>
  </si>
  <si>
    <t>https://livetheresidency.com/</t>
  </si>
  <si>
    <t>Sundai Club</t>
  </si>
  <si>
    <t>United States (MIT and Harvard, Cambridge MA), with satellite hacks</t>
  </si>
  <si>
    <t>Non-dilutive; nothing changes hands</t>
  </si>
  <si>
    <t>Individuals - it is a hacker club</t>
  </si>
  <si>
    <t>Minimal</t>
  </si>
  <si>
    <t>Weekly Sunday builds in Cambridge MA; satellite events elsewhere (an AI Tinkerers collaboration ran in Paris)</t>
  </si>
  <si>
    <t>https://www.sundai.club/</t>
  </si>
  <si>
    <t>EU Datathon (Publications Office open data competition)</t>
  </si>
  <si>
    <t>Cash prizes, non-dilutive.</t>
  </si>
  <si>
    <t>Open to individuals and teams; no entity or team-size requirement recorded.</t>
  </si>
  <si>
    <t>Moderate ‚Äî requires building a working prototype or application.</t>
  </si>
  <si>
    <t>NOTABLE EXCEPTION IN THIS LANE ‚Äî described as "open worldwide to anyone who is interested in creating a for-profit or non-profit (social) business model through data exploration". No EU establishment requirement found. If confirmed, this is the only EU-level instrument in the sweep with no European entity or residence gate at all.</t>
  </si>
  <si>
    <t>None on eligibility. The practical condition is technical: at least one dataset used must come from data.europa.eu.</t>
  </si>
  <si>
    <t>https://op.europa.eu/en/web/eudatathon</t>
  </si>
  <si>
    <t>Carbon13</t>
  </si>
  <si>
    <t>UK ‚Äî Cambridge (also Berlin)</t>
  </si>
  <si>
    <t>Venture-builder equity terms; not established.</t>
  </si>
  <si>
    <t>Venture-builder model ‚Äî takes individuals and forms teams, so solo entry is standard.</t>
  </si>
  <si>
    <t>Cambridge or Berlin.</t>
  </si>
  <si>
    <t>https://carbonthirteen.com/</t>
  </si>
  <si>
    <t>F6S open calls and programmes directory</t>
  </si>
  <si>
    <t>Global, EU-weighted</t>
  </si>
  <si>
    <t>EU cascade funding is generally equity-free</t>
  </si>
  <si>
    <t>not applicable - directory</t>
  </si>
  <si>
    <t>EU open calls typically require an entity established in an EU Member State or Digital Europe Programme associated country</t>
  </si>
  <si>
    <t>For the EU cascade-funding open calls specifically: eligibility is restricted to SMEs and research organisations established in EU Member States or associated countries, which requires an EU-registered entity to submit. That is a genuine submission-time entity wall, not a post-selection one.</t>
  </si>
  <si>
    <t>https://www.f6s.com/programs</t>
  </si>
  <si>
    <t>Founder University</t>
  </si>
  <si>
    <t>Global (virtual)</t>
  </si>
  <si>
    <t>$500 tuition, reportedly refundable if you attend every live session. Investment terms for selected companies not verified.</t>
  </si>
  <si>
    <t>Not stated. Open to solo founders in practice.</t>
  </si>
  <si>
    <t>Short form plus a one-minute live video recording. Budget 1-2 hours. VIDEO REQUIRED.</t>
  </si>
  <si>
    <t>None. Virtual.</t>
  </si>
  <si>
    <t>https://founder.university/</t>
  </si>
  <si>
    <t>Hook</t>
  </si>
  <si>
    <t>Explicitly individual-friendly: 'You can apply as an individual, or as a startup.'</t>
  </si>
  <si>
    <t>Paris</t>
  </si>
  <si>
    <t>https://hook.vc/</t>
  </si>
  <si>
    <t>Luxembourg-City Incubator</t>
  </si>
  <si>
    <t>Luxembourg</t>
  </si>
  <si>
    <t>Unknown; form not inspected. Contact info@cityincubator.lu / +352 28 81 01 01.</t>
  </si>
  <si>
    <t>Luxembourg City.</t>
  </si>
  <si>
    <t>https://cityincubator.lu/apply/</t>
  </si>
  <si>
    <t>Startup SuperNova and Hringi√∞a</t>
  </si>
  <si>
    <t>Iceland (Reykjavik)</t>
  </si>
  <si>
    <t>Babele platform form; effort unknown.</t>
  </si>
  <si>
    <t>Iceland. Every KLAK programme reads as Iceland-domestic; international founder eligibility is stated nowhere on the site.</t>
  </si>
  <si>
    <t>https://app.babele.co/application-definition/828/</t>
  </si>
  <si>
    <t>New Future Ventures</t>
  </si>
  <si>
    <t>United Kingdom</t>
  </si>
  <si>
    <t>not stated</t>
  </si>
  <si>
    <t>https://incubatorlist.com/new-future-ventures</t>
  </si>
  <si>
    <t>Alfred P. Sloan Foundation</t>
  </si>
  <si>
    <t>Global, US-centred</t>
  </si>
  <si>
    <t>The page states the Foundation 'seeks proposals for original initiatives led by outstanding individuals or teams', but see the blocker</t>
  </si>
  <si>
    <t>High</t>
  </si>
  <si>
    <t>Two explicit exclusions on the apply page: 'The Foundation does not make grants to individuals except through its Books program' and 'The Foundation does not generally make grants to for-profit institutions.' Supaprod is a for-profit product built by an individual, so it is excluded on both counts.</t>
  </si>
  <si>
    <t>https://sloan.org/grants/apply</t>
  </si>
  <si>
    <t>Bavarian Business Plan Competitions (Munich)</t>
  </si>
  <si>
    <t>Germany (Bavaria, Munich)</t>
  </si>
  <si>
    <t>Upload a concept to a protected web portal after registering at baystartup.de</t>
  </si>
  <si>
    <t>Southern Bavaria for the Munich competition</t>
  </si>
  <si>
    <t>https://www.baystartup.de/en/business-plan-competitions/munich</t>
  </si>
  <si>
    <t>Web Summit ALPHA startup programme</t>
  </si>
  <si>
    <t>Portugal (Lisbon)</t>
  </si>
  <si>
    <t>None; this is a paid ticket package</t>
  </si>
  <si>
    <t>Not applicable</t>
  </si>
  <si>
    <t>Roughly 30 minutes; an email-first form followed by a conversation with the startup team</t>
  </si>
  <si>
    <t>Lisbon for four days in November</t>
  </si>
  <si>
    <t>https://websummit.com/startups/</t>
  </si>
  <si>
    <t>BITSoM VERTEX</t>
  </si>
  <si>
    <t>India; applications invited from "Founders from across India"</t>
  </si>
  <si>
    <t>https://www.ceoinsightsindia.com/news/bitsom-debuts-vertex-to-bring-silicon-valley-innovation-to-india-nwid-24629.html</t>
  </si>
  <si>
    <t>StartX (Visiting Founder track)</t>
  </si>
  <si>
    <t>Zero equity, zero fees</t>
  </si>
  <si>
    <t>Not readable</t>
  </si>
  <si>
    <t>Standard application plus, for the Visiting Founder route, recommendations from three StartX founders</t>
  </si>
  <si>
    <t>Palo Alto, full-time for 12 weeks</t>
  </si>
  <si>
    <t>https://startx.com/apply</t>
  </si>
  <si>
    <t>Sputnik ATX</t>
  </si>
  <si>
    <t>Austin, Texas, USA</t>
  </si>
  <si>
    <t>SAFE with a 30% discount</t>
  </si>
  <si>
    <t>Austin-based</t>
  </si>
  <si>
    <t>https://www.sputnikatx.com/</t>
  </si>
  <si>
    <t>Barclays Black Founder Accelerator</t>
  </si>
  <si>
    <t>No solo bar.</t>
  </si>
  <si>
    <t>3-stage application process.</t>
  </si>
  <si>
    <t>UK, virtual plus in-person.</t>
  </si>
  <si>
    <t>Programme eligibility is restricted to Black founders.</t>
  </si>
  <si>
    <t>https://labs.uk.barclays/what-we-offer/our-programmes/barclays-black-founder-accelerator/</t>
  </si>
  <si>
    <t>Accelerace pre-seed programmes</t>
  </si>
  <si>
    <t>Unknown; start with the investment-readiness test.</t>
  </si>
  <si>
    <t>Described as serving 'pre-traction' startups in the Nordics, Baltics and Italy. Overkill Ventures directs Nordic/Baltic pre-seed startups here.</t>
  </si>
  <si>
    <t>https://accelerace.io/</t>
  </si>
  <si>
    <t>Startupbootcamp accelerator programmes</t>
  </si>
  <si>
    <t>Netherlands (Amsterdam)</t>
  </si>
  <si>
    <t>Equity; terms not established.</t>
  </si>
  <si>
    <t>Amsterdam.</t>
  </si>
  <si>
    <t>https://startupbootcamp.org/startups/accelerators</t>
  </si>
  <si>
    <t>The Pitch ‚Äî Fall 2026 Cohort</t>
  </si>
  <si>
    <t>United States (San Francisco) ‚Äî 'Incorporated legal entity in any country'</t>
  </si>
  <si>
    <t>'We don't take any equity for participating, and there's no cost to pitch.'</t>
  </si>
  <si>
    <t>Not addressed; no team requirement published</t>
  </si>
  <si>
    <t>'5-minute form... No deck required to apply.' Response within 1-2 weeks, then a 20-minute producer call.</t>
  </si>
  <si>
    <t>Must be available for the live taping in San Francisco during October 2026</t>
  </si>
  <si>
    <t>https://www.thepitch.show/apply</t>
  </si>
  <si>
    <t>Neo Scholars</t>
  </si>
  <si>
    <t>None. Equity-free.</t>
  </si>
  <si>
    <t>Individual scholarship.</t>
  </si>
  <si>
    <t>San Francisco summer residency.</t>
  </si>
  <si>
    <t>Enrolment status. 'Applicants must be current undergraduates at a US university studying computer science or a closely related field.' This founder is a TUM alumnus and a working professional, not a current US undergraduate.</t>
  </si>
  <si>
    <t>https://neo.com/scholars</t>
  </si>
  <si>
    <t>Venturecake (weXelerate accelerator)</t>
  </si>
  <si>
    <t>Austria (Vienna)</t>
  </si>
  <si>
    <t>Described as a co-owned accelerator, which implies equity; terms not published</t>
  </si>
  <si>
    <t>Vienna, Praterstrasse 1</t>
  </si>
  <si>
    <t>https://www.wexelerate.com/</t>
  </si>
  <si>
    <t>CyberXcelerator (CDP National Accelerators Network)</t>
  </si>
  <si>
    <t>Italy (Cosenza)</t>
  </si>
  <si>
    <t>Equity, via investment vehicles created for each programme</t>
  </si>
  <si>
    <t>Based at NTT Data's offices in Cosenza. CDP states its programmes are open to Italian startups and to international ventures looking to open a branch in Italy.</t>
  </si>
  <si>
    <t>https://www.cdpventurecapital.it/en/fondo.page?contentId=FND50547</t>
  </si>
  <si>
    <t>Replicate startup credits</t>
  </si>
  <si>
    <t>https://replicate.com/</t>
  </si>
  <si>
    <t>Founder Residency</t>
  </si>
  <si>
    <t>US ‚Äî Portland, Maine</t>
  </si>
  <si>
    <t>'Free to attend, with no fees or equity requirements'</t>
  </si>
  <si>
    <t>Requires the CEO full-time; co-founders 'ideally' also present ‚Äî solo not barred</t>
  </si>
  <si>
    <t>Application plus an optional call with the programme team</t>
  </si>
  <si>
    <t>CEO must live in Maine and work full-time on the venture during the programme; global sourcing but on-campus attendance required</t>
  </si>
  <si>
    <t>https://roux.northeastern.edu/entrepreneurship/founder-residency/</t>
  </si>
  <si>
    <t>Zebras Unite Co-Op</t>
  </si>
  <si>
    <t>Global - chapters from Tokyo to Brisbane, London to Singapore</t>
  </si>
  <si>
    <t>Member-owned co-op - you buy in. Membership fees exist; pricing and tiers were described as being redesigned. No equity taken in your company.</t>
  </si>
  <si>
    <t>Under 5 minutes. "The membership application takes less than five minutes to complete, and puts you in the queue."</t>
  </si>
  <si>
    <t>None. Chapter-based globally.</t>
  </si>
  <si>
    <t>https://zebrasunite.coop/join</t>
  </si>
  <si>
    <t>Kernel</t>
  </si>
  <si>
    <t>Global (online, 8-week blocks)</t>
  </si>
  <si>
    <t>No equity. One-time fee of $500 USDC or ETH equivalent once accepted, with an extensive need-based scholarship programme: "We never want money to be the reason you don't apply."</t>
  </si>
  <si>
    <t>Individual fellowship. Can apply solo or as a team.</t>
  </si>
  <si>
    <t>~2-3 hours. Moot until a block is announced.</t>
  </si>
  <si>
    <t>None - fully online, Slack-based, with weekly Thursday firesides.</t>
  </si>
  <si>
    <t>https://apply.kernel.community/</t>
  </si>
  <si>
    <t>Renaissance Philanthropy</t>
  </si>
  <si>
    <t>Not applicable - no open application exists</t>
  </si>
  <si>
    <t>https://www.renaissancephilanthropy.org/programs/</t>
  </si>
  <si>
    <t>The Navigation Fund</t>
  </si>
  <si>
    <t>Non-dilutive philanthropic grant</t>
  </si>
  <si>
    <t>https://www.navigation.org/grants</t>
  </si>
  <si>
    <t>Anthropic Economic Futures Research Fund</t>
  </si>
  <si>
    <t>Global, with a stated UK and Europe arm</t>
  </si>
  <si>
    <t>Non-dilutive research grant</t>
  </si>
  <si>
    <t>Research fund; not founder-shaped</t>
  </si>
  <si>
    <t>Global, with a UK and Europe programme launched November 2025</t>
  </si>
  <si>
    <t>https://www.anthropic.com/economic-futures</t>
  </si>
  <si>
    <t>Village Global network</t>
  </si>
  <si>
    <t>Global, San Francisco centred</t>
  </si>
  <si>
    <t>Venture fund; investing is the stated activity</t>
  </si>
  <si>
    <t>Network events largely in San Francisco</t>
  </si>
  <si>
    <t>https://www.villageglobal.com/</t>
  </si>
  <si>
    <t>EuroHPC AI Factories ‚Äî Playground Access (AI for Industrial Innovation)</t>
  </si>
  <si>
    <t>EU-level (19 AI Factories + 13 AI Factory Antennas across Europe)</t>
  </si>
  <si>
    <t>Zero equity, zero cash, zero IP claim. Pure compute grant.</t>
  </si>
  <si>
    <t>Irrelevant ‚Äî this is an access call assessed on the technical proposal, not on team composition. A one-person SME qualifies.</t>
  </si>
  <si>
    <t>Very low for this lane ‚Äî "a short application explaining the relevance of their proposal (templates are provided)", first-come first-served, no competitive selection, eligibility plus technical assessment only. A few hours.</t>
  </si>
  <si>
    <t>"Playground provides quick access to European SMEs and startups." The access-modes page adds "The Industrial Innovation Access modes are open and free-of-charge to AI SMEs (including startups) for innovation purposes." A European legal entity IS required ‚Äî this is the decisive lane answer here.</t>
  </si>
  <si>
    <t>A European SME must exist ‚Äî the access mode is scoped to "European SMEs and startups". No route for an unincorporated founder or a non-European entity.</t>
  </si>
  <si>
    <t>https://access.eurohpc-ju.europa.eu/</t>
  </si>
  <si>
    <t>Ireland Start-up Entrepreneur Programme (STEP)</t>
  </si>
  <si>
    <t>Individual route; solo is standard.</t>
  </si>
  <si>
    <t>Moderate-to-high: a detailed business plan on the official template plus evidence of funding. ‚Ç¨350 non-refundable fee.</t>
  </si>
  <si>
    <t>Must establish and run the business in Ireland full-time and not be employed in another profession.</t>
  </si>
  <si>
    <t>https://www.irishimmigration.ie/coming-to-live-in-ireland/i-want-to-start-a-business-invest-or-buy-property-in-ireland/start-up-entrepreneur-programme-step/</t>
  </si>
  <si>
    <t>Digital Catapult ‚Äî Machine Intelligence Garage</t>
  </si>
  <si>
    <t>Non-dilutive.</t>
  </si>
  <si>
    <t>Historically a pre-registration of interest.</t>
  </si>
  <si>
    <t>UK.</t>
  </si>
  <si>
    <t>https://www.digicatapult.org.uk/expertise/case-studies/study/machine-intelligence-garage/</t>
  </si>
  <si>
    <t>Figma for Startups</t>
  </si>
  <si>
    <t>Unknown - no application route located</t>
  </si>
  <si>
    <t>https://www.figma.com/pricing/</t>
  </si>
  <si>
    <t>NRC IRAP</t>
  </si>
  <si>
    <t>Canada</t>
  </si>
  <si>
    <t>Not a published constraint; IRAP does require employees</t>
  </si>
  <si>
    <t>Heavy - relationship-led through an assigned Industrial Technology Advisor</t>
  </si>
  <si>
    <t>"your business must... be incorporated in Canada as a for-profit corporation incorporated under federal or provincial law". A Canadian entity that does not exist.</t>
  </si>
  <si>
    <t>https://nrc.canada.ca/en/support-technology-innovation</t>
  </si>
  <si>
    <t>The Intelligent Accelerator (Advanced Program for AI-powered B2B startups)</t>
  </si>
  <si>
    <t>California, USA - delivered online via Gust</t>
  </si>
  <si>
    <t>not specified</t>
  </si>
  <si>
    <t>California-registered but Gust-delivered, likely online</t>
  </si>
  <si>
    <t>https://gust.com/programs/business-ai-advanced-program-the-intelligent-accelerator</t>
  </si>
  <si>
    <t>Sequoia Arc</t>
  </si>
  <si>
    <t>San Francisco, USA and Europe</t>
  </si>
  <si>
    <t>Company-specific, not published</t>
  </si>
  <si>
    <t>Not stated; targets "outlier early stage founders" at pre-seed and seed</t>
  </si>
  <si>
    <t>Not determinable - no form is reachable</t>
  </si>
  <si>
    <t>Americas and Europe cohorts</t>
  </si>
  <si>
    <t>https://www.sequoiacap.com/arc/</t>
  </si>
  <si>
    <t>Pax Momentum</t>
  </si>
  <si>
    <t>Maryland, USA</t>
  </si>
  <si>
    <t>https://incubatorlist.com/pax-momentum</t>
  </si>
  <si>
    <t>Mitacs (Accelerate, Accelerate Entrepreneur, Business Strategy Internship)</t>
  </si>
  <si>
    <t>Not applicable in the usual sense, since funding attaches to interns rather than founders</t>
  </si>
  <si>
    <t>High. Requires an academic supervisor and a scoped research project.</t>
  </si>
  <si>
    <t>Every Mitacs route runs through a Canadian post-secondary institution. Accelerate funds 'research-based internships ... between post-secondary students and postdoctoral fellows, industry, and academic researchers'; Accelerate Entrepreneur is for 'college, undergraduate, graduate students and postdoctoral entrepreneurs'. A solo founder with no Canadian academic affiliation and no intern to host cannot form an eligible application.</t>
  </si>
  <si>
    <t>https://www.mitacs.ca/programs-resources/programs/</t>
  </si>
  <si>
    <t>HKSTP Incu-Tech Incubation Programme</t>
  </si>
  <si>
    <t>Funding support, equity-free.</t>
  </si>
  <si>
    <t>Effectively team-requiring through a staffing rule rather than a founder-count rule: the programme requires at least 2 full-time staff working on site, which a solo founder cannot satisfy at application.</t>
  </si>
  <si>
    <t>Heavy. Business plan, technology description, team credentials and financial projections through the HKSTP portal, then a presentation to an evaluation panel. Published admission criteria also require the applicant to be "in the R&amp;D field in Information and Communication Technology (ICT), electronics, green technology or precision engineering" and to be "market validated with MVP or prototypes".</t>
  </si>
  <si>
    <t>Hong Kong Science Park, with on-site presence required.</t>
  </si>
  <si>
    <t>YES, and now confirmed from HKSTP's own page rather than an aggregator: "Overseas companies must get a Hong Kong business registration" before applying. An entity must exist to submit. The Hong Kong entity does not collide with the founder's Indian-entity ruling - different jurisdiction - but it must exist first, which is exactly the stop condition in screening rule 3.</t>
  </si>
  <si>
    <t>https://itapps.plumsail.io/5ffa6de3-5a92-4c1e-a77f-ab81a2eb44a5</t>
  </si>
  <si>
    <t>Lanzadera</t>
  </si>
  <si>
    <t>Spain (Valencia)</t>
  </si>
  <si>
    <t>Not stated. The page segments applicants by founder stage - founder in expansion versus founder taking first steps - rather than by team size.</t>
  </si>
  <si>
    <t>In person at La Marina, Valencia, two to four days per week for at least six months</t>
  </si>
  <si>
    <t>https://lanzadera.es/programa/</t>
  </si>
  <si>
    <t>Sundai Club and Sundai Hacker Combinator</t>
  </si>
  <si>
    <t>US (Boston / Cambridge, Massachusetts)</t>
  </si>
  <si>
    <t>Not gated; hacks are individual and teams form on the day.</t>
  </si>
  <si>
    <t>Unknown - no application form located.</t>
  </si>
  <si>
    <t>Boston / Cambridge, in person at MIT. Demo Days are partially remote-accessible: "People outside Boston will be able to join too!"</t>
  </si>
  <si>
    <t>F6S Programs directory</t>
  </si>
  <si>
    <t>Global ‚Äî the application platform behind hundreds of accelerators and EU open calls</t>
  </si>
  <si>
    <t>Free account creation, then per-programme forms</t>
  </si>
  <si>
    <t>Cerebras Supernova Startup Program</t>
  </si>
  <si>
    <t>Unknown - contact-form route</t>
  </si>
  <si>
    <t>https://www.cerebras.ai/startup-deal</t>
  </si>
  <si>
    <t>Scaleway Startup Program (Founders / Early Stage / Growth)</t>
  </si>
  <si>
    <t>Europe (France-based, EU-sovereign)</t>
  </si>
  <si>
    <t>Reported '&lt;50 employees' ceiling - a solo founder qualifies</t>
  </si>
  <si>
    <t>Reported route is email to startup-program@scaleway.com rather than a public form</t>
  </si>
  <si>
    <t>Reported: 'Any startup going to market is welcome to apply regardless of vertical, especially when tackling the EU market'</t>
  </si>
  <si>
    <t>https://www.scaleway.com/en/startup-program/</t>
  </si>
  <si>
    <t>Reforge membership</t>
  </si>
  <si>
    <t>None. Subscription.</t>
  </si>
  <si>
    <t>Not applicable. No selection.</t>
  </si>
  <si>
    <t>None. Purchase, no application.</t>
  </si>
  <si>
    <t>https://www.reforge.com/pricing/launch</t>
  </si>
  <si>
    <t>Product-Led Alliance Pro Membership</t>
  </si>
  <si>
    <t>None. Purchase.</t>
  </si>
  <si>
    <t>https://www.productledalliance.com/membership/</t>
  </si>
  <si>
    <t>Startup India Seed Fund Scheme (SISFS)</t>
  </si>
  <si>
    <t>Grant and debt/convertible debentures. "A startup applicant can avail seed support in the form of grant and debt/convertible debentures each once as per the guidelines of the scheme."</t>
  </si>
  <si>
    <t>Online application through the SISFS portal to a chosen incubator. A startup application guide book is published.</t>
  </si>
  <si>
    <t>India. Funds are disbursed through eligible incubators across India.</t>
  </si>
  <si>
    <t>Yes, and now confirmed from the scheme's own eligibility page rather than assumed: "A startup, recognized by DPIIT, incorporated not more than 2 years ago at the time of application." A second criterion compounds it: "Shareholding by Indian promoters in the startup should be at least 51% at the time of application to the incubator for the scheme, as per Companies Act, 2013 and SEBI (ICDR) Regulations, 2018." Both require the Indian incorporated entity the founder deliberately ruled out on FEMA and RBI share-swap grounds. Fallback only.</t>
  </si>
  <si>
    <t>https://seedfund.startupindia.gov.in/</t>
  </si>
  <si>
    <t>Future Founders Fellowship</t>
  </si>
  <si>
    <t>Not applicable - no company is funded.</t>
  </si>
  <si>
    <t>Individual selection - "A small group of Fellows will be selected" - which would have suited a solo founder, but the eligibility gate makes it moot.</t>
  </si>
  <si>
    <t>Typeform application. Not worth assessing given the eligibility wall.</t>
  </si>
  <si>
    <t>"Bangalore, in person, full-time" - "Available full-time in Bangalore for 8 weeks".</t>
  </si>
  <si>
    <t>YES - a genuine eligibility wall, and it disposes of this row entirely. This is an UNDERGRADUATE SUMMER INTERNSHIP, not a founder programme. Published eligibility: applicants must be "Currently in your 2nd to 4th year" of undergraduate study with a "bias toward 2nd and 3rd years", and enrolled at one of six named institutions - IIT Delhi, IIT Bombay, IIT Madras, IIT Kanpur, IIT Kharagpur or BITS Pilani (Pilani Campus). Fellows are embedded inside Peak XV portfolio startups and paid a stipend of "2 lakhs per month". The founder is not an enrolled undergraduate at any of those institutions.</t>
  </si>
  <si>
    <t>https://form.typeform.com/to/PmOg2xw5</t>
  </si>
  <si>
    <t>Startupbootcamp</t>
  </si>
  <si>
    <t>UK ‚Äî London (plus international verticals)</t>
  </si>
  <si>
    <t>"In exchange for a small equity stake" (aggregator).</t>
  </si>
  <si>
    <t>Moderate. Reported ~1% acceptance.</t>
  </si>
  <si>
    <t>Three-month in-person programmes, sector-specific by city.</t>
  </si>
  <si>
    <t>https://www.startupbootcamp.org/</t>
  </si>
  <si>
    <t>ClickHouse Cloud Startup Program</t>
  </si>
  <si>
    <t>Unknown for the general route</t>
  </si>
  <si>
    <t>The only quantified route found is gated: 'Eligible startups are in the current Y Combinator program, pre-Series D, and new to ClickHouse Cloud.' A separate AWS Activate route is referenced in ClickHouse's blog, which would be reachable without YC.</t>
  </si>
  <si>
    <t>https://clickhouse.com/deals/ycombinator</t>
  </si>
  <si>
    <t>Founder Institute ‚Äî FI Core</t>
  </si>
  <si>
    <t>Global, 200+ cities including Bangalore, Berlin, London</t>
  </si>
  <si>
    <t>FI takes equity via a warrant and charges a course fee. Exact terms vary by chapter and were not verified.</t>
  </si>
  <si>
    <t>Explicitly built for solo, idea-stage founders ‚Äî FI's core audience is pre-team.</t>
  </si>
  <si>
    <t>Low. Online form plus an aptitude assessment. Budget 1-2 hours.</t>
  </si>
  <si>
    <t>Chapter-based and part-time; a Bangalore or virtual chapter would require no relocation.</t>
  </si>
  <si>
    <t>Norrsken House membership (Stockholm / Barcelona)</t>
  </si>
  <si>
    <t>Sweden (Stockholm), Spain (Barcelona)</t>
  </si>
  <si>
    <t>None. Membership fee, no equity.</t>
  </si>
  <si>
    <t>Not stated. Membership is company or individual level.</t>
  </si>
  <si>
    <t>Short membership form, reviewed weekly.</t>
  </si>
  <si>
    <t>Physical presence in Stockholm or Barcelona.</t>
  </si>
  <si>
    <t>https://www.norrsken.org/houses/barcelona</t>
  </si>
  <si>
    <t>Meta AI Startup Program (AI Startup Accelerator) at STATION F</t>
  </si>
  <si>
    <t>Offices at Station F, Paris. Language listed as French.</t>
  </si>
  <si>
    <t>https://www.hec.edu/en/institutes-and-centers-expertise/innovation-entrepreneurship/our-centers/incubation-et-acceleration-center/meta-ai-startup-program</t>
  </si>
  <si>
    <t>EuroHPC AI Factories ‚Äî Fast Lane and Large Scale Access</t>
  </si>
  <si>
    <t>Non-dilutive in-kind compute.</t>
  </si>
  <si>
    <t>Higher than Playground ‚Äî a technical case for a substantial allocation. Still modest by EU standards.</t>
  </si>
  <si>
    <t>European AI SMEs and startups.</t>
  </si>
  <si>
    <t>Same as Playground ‚Äî a European AI SME must exist.</t>
  </si>
  <si>
    <t>https://www.eurohpc-ju.europa.eu/ai-factories/ai-factories-access-modes_en</t>
  </si>
  <si>
    <t>SAP.iO Foundry Berlin and Munich</t>
  </si>
  <si>
    <t>Germany (Berlin and Munich)</t>
  </si>
  <si>
    <t>Berlin or Munich</t>
  </si>
  <si>
    <t>https://sap.io/foundry-munich/</t>
  </si>
  <si>
    <t>Cegid Startup Program at STATION F</t>
  </si>
  <si>
    <t>Full-time on the project and on campus at Station F for the whole programme</t>
  </si>
  <si>
    <t>https://www.cegid.com/fr/lpm/cegid-startup-program/</t>
  </si>
  <si>
    <t>Grace</t>
  </si>
  <si>
    <t>Germany</t>
  </si>
  <si>
    <t>https://incubatorlist.com/grace</t>
  </si>
  <si>
    <t>EXIST-Gruenderstipendium</t>
  </si>
  <si>
    <t>Non-dilutive scholarship</t>
  </si>
  <si>
    <t>Solo founders are explicitly funded - the material-expenses tier distinguishes up to 10,000 EUR for single founders versus up to 30,000 EUR for teams</t>
  </si>
  <si>
    <t>Germany; the venture must be built at or with the sponsoring German university</t>
  </si>
  <si>
    <t>https://exist.de/en/programm/gruendungsstipendium/</t>
  </si>
  <si>
    <t>Xpreneurs Incubator</t>
  </si>
  <si>
    <t>Germany (Munich)</t>
  </si>
  <si>
    <t>Not verified</t>
  </si>
  <si>
    <t>Munich; hybrid per the aggregator listing</t>
  </si>
  <si>
    <t>https://www.xpreneurs.io/</t>
  </si>
  <si>
    <t>Innovation Visa for a Foreign Technology Entrepreneur</t>
  </si>
  <si>
    <t>Not a funding instrument</t>
  </si>
  <si>
    <t>Designed for individual foreign entrepreneurs</t>
  </si>
  <si>
    <t>Unknown; visa-grade paperwork</t>
  </si>
  <si>
    <t>Relocation to Israel</t>
  </si>
  <si>
    <t>https://innovationisrael.org.il/en/programs/tech-innovation-visa/</t>
  </si>
  <si>
    <t>EntrePass</t>
  </si>
  <si>
    <t>Individual pass holder</t>
  </si>
  <si>
    <t>Visa-grade paperwork plus supporting evidence</t>
  </si>
  <si>
    <t>https://www.mom.gov.sg/passes-and-permits/entrepass/eligibility</t>
  </si>
  <si>
    <t>Merantix Venture Studio</t>
  </si>
  <si>
    <t>Germany (Berlin)</t>
  </si>
  <si>
    <t>Equity; terms not published</t>
  </si>
  <si>
    <t>The studio model includes co-founder matching, so individuals are in scope</t>
  </si>
  <si>
    <t>Berlin</t>
  </si>
  <si>
    <t>https://www.merantix.com/platform</t>
  </si>
  <si>
    <t>SemperVirens Accelerator ‚Äî Fall 2026 cohort</t>
  </si>
  <si>
    <t>US ‚Äî San Francisco and New York City</t>
  </si>
  <si>
    <t>SF or NYC ‚Äî 'Come meet us in SF or NYC'</t>
  </si>
  <si>
    <t>https://www.sempervirensvc.com/</t>
  </si>
  <si>
    <t>Kickstart Innovation</t>
  </si>
  <si>
    <t>Switzerland (Zurich)</t>
  </si>
  <si>
    <t>Zero equity taken from startups</t>
  </si>
  <si>
    <t>In-person events in Zurich, including the opening ceremony, an executive dinner and a week of intensive one-to-ones</t>
  </si>
  <si>
    <t>https://www.kickstart-innovation.com/join-startup</t>
  </si>
  <si>
    <t>Vienna Startup Package</t>
  </si>
  <si>
    <t>Vienna, for a defined soft-landing period</t>
  </si>
  <si>
    <t>https://wirtschaftsagentur.at/</t>
  </si>
  <si>
    <t>KERNEL Fellowship</t>
  </si>
  <si>
    <t>None. Costs money rather than providing it.</t>
  </si>
  <si>
    <t>Individual fellowship.</t>
  </si>
  <si>
    <t>None. Remote.</t>
  </si>
  <si>
    <t>Founders Factory ‚Äî Venture Studio</t>
  </si>
  <si>
    <t>Studio tracks typically take materially more equity than the accelerator. Not stated.</t>
  </si>
  <si>
    <t>Same funnel: form ‚Üí investment manager call ‚Üí committee.</t>
  </si>
  <si>
    <t>https://form.typeform.com/to/XdvluIs5</t>
  </si>
  <si>
    <t>John Templeton Foundation</t>
  </si>
  <si>
    <t>High. A two-stage inquiry then full proposal.</t>
  </si>
  <si>
    <t>https://www.templeton.org/funding-areas</t>
  </si>
  <si>
    <t>Founder Institute Munich</t>
  </si>
  <si>
    <t>Entrance fee of 499 EUR early or 699 EUR standard, plus an FI equity warrant</t>
  </si>
  <si>
    <t>Explicitly built for solo founders</t>
  </si>
  <si>
    <t>Roughly 1 hour plus an aptitude test</t>
  </si>
  <si>
    <t>Virtual First - all required sessions are online</t>
  </si>
  <si>
    <t>https://fi.co/apply/munich</t>
  </si>
  <si>
    <t>Founder Institute Madrid</t>
  </si>
  <si>
    <t>Spain (Madrid)</t>
  </si>
  <si>
    <t>Entrance fee plus an FI equity warrant</t>
  </si>
  <si>
    <t>Virtual-first for most FI chapters</t>
  </si>
  <si>
    <t>https://fi.co/apply/madrid</t>
  </si>
  <si>
    <t>Enterprise Ireland ‚Äî HPSU Feasibility Study Grant / Innovative HPSU Fund</t>
  </si>
  <si>
    <t>Equity ‚Äî typically 10% for a ‚Ç¨50K‚Äì‚Ç¨250K investment (aggregator).</t>
  </si>
  <si>
    <t>Very high ‚Äî full HPSU business plan and investment committee process.</t>
  </si>
  <si>
    <t>Ireland.</t>
  </si>
  <si>
    <t>Applicant must already be an incorporated Irish small enterprise AND an existing Enterprise Ireland client. Neither is true and neither can be created by filing a form.</t>
  </si>
  <si>
    <t>https://www.enterprise-ireland.com/en/supports/hpsu-feasibility-study-grant</t>
  </si>
  <si>
    <t>AI Fund - Build With Us / Engineer in Residence</t>
  </si>
  <si>
    <t>Mountain View, California, USA</t>
  </si>
  <si>
    <t>Venture studio co-founding model. Terms not published; studios typically take a co-founder-scale position.</t>
  </si>
  <si>
    <t>Individual by design - the EIR is a single person embedded in the studio</t>
  </si>
  <si>
    <t>It is a job application submitted through Lever, not a startup application.</t>
  </si>
  <si>
    <t>"Full-time, on-site" in AI Fund's Mountain View office for 12 weeks</t>
  </si>
  <si>
    <t>THE PROGRAMME EXPLICITLY EXCLUDES FOUNDERS BRINGING THEIR OWN COMPANY OR IDEA. Verbatim from aifund.ai/build-with-us/: "This is not a research fellowship. It's also not an accelerator that takes your existing company... If you're set on pursuing your own pre-existing concept, this isn't the right program." AI Fund assigns a vetted idea from its own pipeline; the EIR builds that idea, not their own. Supaprod is a shipped product with 5,172 commits, precisely the case the page rules out.</t>
  </si>
  <si>
    <t>https://jobs.lever.co/AIFund/2058ebf8-8edf-4e07-97a9-41ace9899eb1</t>
  </si>
  <si>
    <t>EIC STEP Scale Up 2026</t>
  </si>
  <si>
    <t>EQUITY ONLY ‚Äî fully dilutive. Does not belong in the non-dilutive lane on its terms, and requires the company to be raising a private round of EUR 50M or above.</t>
  </si>
  <si>
    <t>Not addressed; irrelevant at this stage gate.</t>
  </si>
  <si>
    <t>Investment-grade due diligence process.</t>
  </si>
  <si>
    <t>EU Member State or Associated Country establishment.</t>
  </si>
  <si>
    <t>Stage wall: the instrument exists to co-invest alongside private rounds of EUR 50M+. A pre-revenue private beta is orders of magnitude below the threshold.</t>
  </si>
  <si>
    <t>https://eic.ec.europa.eu/eic-funding-opportunities_en</t>
  </si>
  <si>
    <t>Technology Development Fund (T√¶kni√ær√≥unarsj√≥√∞ur)</t>
  </si>
  <si>
    <t>Electronic submission via the Rann√≠s application portal; effort unknown.</t>
  </si>
  <si>
    <t>The fund's stated role is 'to support development and research in the field of technology aimed at innovation in the Icelandic economy' ‚Äî an Icelandic nexus is near-certain.</t>
  </si>
  <si>
    <t>none established; an Icelandic entity is near-certain but unconfirmed</t>
  </si>
  <si>
    <t>Rockstart programmes (AgriFood, Energy, Emerging Tech)</t>
  </si>
  <si>
    <t>Amsterdam, Copenhagen, Bogot√°.</t>
  </si>
  <si>
    <t>Mitacs Entrepreneur International and Accelerate Entrepreneur</t>
  </si>
  <si>
    <t>Not a published constraint</t>
  </si>
  <si>
    <t>Moderate, but requires an academic partner</t>
  </si>
  <si>
    <t>Eligible applicants are "Canadian startups based in an incubator or accelerator affiliated with a post-secondary institution" - two conditions (Canadian entity, university-affiliated incubator), neither of which is held.</t>
  </si>
  <si>
    <t>https://www.mitacs.ca/our-programs/</t>
  </si>
  <si>
    <t>Cisco Scale Hub Start-up Program at STATION F</t>
  </si>
  <si>
    <t>STATION F, Paris</t>
  </si>
  <si>
    <t>https://stationfteam.notion.site/Cisco-Scale-Hub-Start-up-Program-STATION-F-32eb25275c9c80e7ae40f25485846bb1</t>
  </si>
  <si>
    <t>Wayra Germany (Residency and Investment)</t>
  </si>
  <si>
    <t>Strategic equity investment from Telefonica's CVC</t>
  </si>
  <si>
    <t>The Residency is explicitly for Munich-based tech startups. The client and investment tracks are not geographically scoped on the page.</t>
  </si>
  <si>
    <t>https://www.wayra.de/for-startups</t>
  </si>
  <si>
    <t>Nucleate Activator</t>
  </si>
  <si>
    <t>USA and international chapters</t>
  </si>
  <si>
    <t>Fully non-dilutive - takes no equity</t>
  </si>
  <si>
    <t>Student-led and individual-friendly</t>
  </si>
  <si>
    <t>Chapter-based across US and international universities</t>
  </si>
  <si>
    <t>DOMAIN MISMATCH. Nucleate is a biotech and life-sciences organisation - "the largest global community of bio-innovators" whose Activator is "designed for academic biotech founders" refining "scientific discoveries into biotech venture theses", accelerating "academic bioventures" that solve "pressing biomedical and ecological challenges". Supaprod is a software product-lifecycle system and falls entirely outside the stated scope.</t>
  </si>
  <si>
    <t>https://www.nucleate.xyz/</t>
  </si>
  <si>
    <t>J-Startup and JETRO Global Acceleration Hub</t>
  </si>
  <si>
    <t>Selection is by recommendation from designated recommenders, not by open application</t>
  </si>
  <si>
    <t>J-Startup selects Japanese companies. JETRO's separate support for foreign entrepreneurs is aimed at those establishing or expanding a business in Japan, which again presumes a Japanese presence.</t>
  </si>
  <si>
    <t>https://www.j-startup.go.jp/en/</t>
  </si>
  <si>
    <t>QSTP Incubation Program</t>
  </si>
  <si>
    <t>Qatar</t>
  </si>
  <si>
    <t>not sourced</t>
  </si>
  <si>
    <t>Initial application or expression of interest</t>
  </si>
  <si>
    <t>Doha, Qatar</t>
  </si>
  <si>
    <t>https://qstp.qa/programs/</t>
  </si>
  <si>
    <t>Hub71 Initiate</t>
  </si>
  <si>
    <t>"Hub71 does not take equity in startups joining Initiate. Equity agreements vary by venture builder." Hub71 takes nothing, but the operating venture builder may.</t>
  </si>
  <si>
    <t>Not addressed on the page.</t>
  </si>
  <si>
    <t>Separate application form at /program/initiate/apply. Effort not published.</t>
  </si>
  <si>
    <t>Abu Dhabi. Includes office space at Hub71 and soft-landing support, with up to 1 year of Hub71 support including licensing.</t>
  </si>
  <si>
    <t>https://www.hub71.com/program/initiate/apply</t>
  </si>
  <si>
    <t>Fractal Accelerator</t>
  </si>
  <si>
    <t>United States (New York City)</t>
  </si>
  <si>
    <t>Not verified.</t>
  </si>
  <si>
    <t>New York City, in person.</t>
  </si>
  <si>
    <t>https://www.fractaltech.nyc/</t>
  </si>
  <si>
    <t>Unicorn Factory Lisboa (Incubation and Scaling Up)</t>
  </si>
  <si>
    <t>Application plus acceptance at a Jury Session for the acceleration programme</t>
  </si>
  <si>
    <t>Lisbon</t>
  </si>
  <si>
    <t>https://unicornfactorylisboa.com/</t>
  </si>
  <si>
    <t>Startup SG Founder</t>
  </si>
  <si>
    <t>Applicant must hold at least 30% of ordinary shares and commit full time - solo is fine, the bar is elsewhere</t>
  </si>
  <si>
    <t>Moderate - routed through an Accredited Mentor Partner</t>
  </si>
  <si>
    <t>Citizenship wall: "the applying individual must be a Singapore Citizen or Permanent Resident". Compounding conditions: a Singapore-incorporated private limited company must already exist and be no more than six months old at application. The founder holds neither status.</t>
  </si>
  <si>
    <t>https://www.enterprisesg.gov.sg/financial-support/startup-sg-founder</t>
  </si>
  <si>
    <t>1517 Fund Medici Project grant</t>
  </si>
  <si>
    <t>North America only</t>
  </si>
  <si>
    <t>Fully non-dilutive: 'This is a no strings attached grant - we don't own you, your project, any IP generated, future equity in anything you generate'</t>
  </si>
  <si>
    <t>Individual-friendly; aimed at 'high school, college students, and dropouts'</t>
  </si>
  <si>
    <t>Under 1 hour, but a video is mandatory: email any partner with a five-minute Loom covering who you are, why you are passionate about the project, and how the grant advances it. No written application, no references.</t>
  </si>
  <si>
    <t>North America</t>
  </si>
  <si>
    <t>Geography. The page states 'we are unable to issue grants to teams based outside of North America', and the founder is currently in Bangalore.</t>
  </si>
  <si>
    <t>https://1517fund.com/medici/</t>
  </si>
  <si>
    <t>fal Research Grants / Startup Credits</t>
  </si>
  <si>
    <t>Reported as a request form with company details and chosen programme</t>
  </si>
  <si>
    <t>The two quantified fal deals found (fal.ai/a16z, fal.ai/ef) are both gated on portfolio membership of a specific investor. Whether the ungated /grants route has its own criteria is unverified.</t>
  </si>
  <si>
    <t>https://fal.ai/grants</t>
  </si>
  <si>
    <t>Innosuisse Start-up Coaching (Initial Coaching)</t>
  </si>
  <si>
    <t>Non-dilutive voucher</t>
  </si>
  <si>
    <t>Online application on the Innosuisse platform: business idea description, value proposition, competitive advantage, team description and any relevant company documents such as an investor pitch deck</t>
  </si>
  <si>
    <t>The start-up must have set up a business in Switzerland within the last five years, or be about to incorporate in Switzerland with an existing Swiss address</t>
  </si>
  <si>
    <t>Requires either a Swiss-incorporated company or an existing Swiss address plus imminent Swiss incorporation. A founder in Bangalore with no entity meets neither.</t>
  </si>
  <si>
    <t>https://www.innosuisse.admin.ch/en/initial-coaching-for-start-up</t>
  </si>
  <si>
    <t>Eureka Globalstars ‚Äî multilateral call with India</t>
  </si>
  <si>
    <t>India + Austria, Belgium (Flanders), Finland, France, Netherlands, Sweden, Switzerland</t>
  </si>
  <si>
    <t>Not addressed.</t>
  </si>
  <si>
    <t>High.</t>
  </si>
  <si>
    <t>Indian entity plus at least one entity in a participating European country.</t>
  </si>
  <si>
    <t>Two independent walls. (1) Scope is healthcare, agriculture and water ‚Äî a product-lifecycle AI platform is off-theme. (2) The Indian participant route runs through DST, which means an Indian entity, and the founder has ruled out incorporating in India because a later flip to a Delaware parent runs through FEMA and RBI share-swap rules.</t>
  </si>
  <si>
    <t>https://www.eurekanetwork.org/programmes-and-calls/globalstars/</t>
  </si>
  <si>
    <t>Pear Garage</t>
  </si>
  <si>
    <t>US (Bay Area - Stanford and UC Berkeley)</t>
  </si>
  <si>
    <t>No equity. Membership programme.</t>
  </si>
  <si>
    <t>Individual membership.</t>
  </si>
  <si>
    <t>Moot - ineligible.</t>
  </si>
  <si>
    <t>Bay Area. Access to work out of Pear Studio in SF or Menlo Park.</t>
  </si>
  <si>
    <t>STUDENT ENROLMENT AND INSTITUTION. The published audience is "Stanford and Berkeley engineering students across undergraduate and graduate programs." The founder is neither a current student nor at either institution. Published and binary.</t>
  </si>
  <si>
    <t>https://pear.vc/programs/dorm/garage/</t>
  </si>
  <si>
    <t>Perplexity for Startups</t>
  </si>
  <si>
    <t>Aggregators report 'Must be associated with an approved startup partner'. Unverified - the page could not be read.</t>
  </si>
  <si>
    <t>https://www.perplexity.ai/startups</t>
  </si>
  <si>
    <t>Lambda Research Program</t>
  </si>
  <si>
    <t>Not applicable - assessed on research merit</t>
  </si>
  <si>
    <t>The offer located is framed for researchers showcasing work, not for startups. Whether a commercial product like Supaprod qualifies is unverified, and a research framing would be a stretch to claim honestly.</t>
  </si>
  <si>
    <t>https://lambda.ai/research</t>
  </si>
  <si>
    <t>TUM Venture Labs</t>
  </si>
  <si>
    <t>Munich</t>
  </si>
  <si>
    <t>https://www.tum-venture-labs.de/offerings/founders-teams</t>
  </si>
  <si>
    <t>Bourse French Tech and Bourse French Tech Emergence</t>
  </si>
  <si>
    <t>France</t>
  </si>
  <si>
    <t>Non-dilutive grant covering up to 50% of eligible spend, up to 70% depending on company category</t>
  </si>
  <si>
    <t>The stated profile is "PME au sens de la Definition Europeenne" - an existing French or EU SME. The Emergence variant additionally requires sponsorship by a technology transfer structure (SATT or academic incubator) and targets public-research spinouts.</t>
  </si>
  <si>
    <t>https://www.bpifrance.fr/catalogue-offres/bourse-french-tech</t>
  </si>
  <si>
    <t>Furthr Foundry</t>
  </si>
  <si>
    <t>Ireland ‚Äî Dublin</t>
  </si>
  <si>
    <t>12-week IN-PERSON programme in Dublin.</t>
  </si>
  <si>
    <t>https://furthr.ie/accelerators/</t>
  </si>
  <si>
    <t>OpenAI for Startups</t>
  </si>
  <si>
    <t>Unknown until the page can be read</t>
  </si>
  <si>
    <t>Reported to require a referral code from a partner VC or accelerator (Sequoia, a16z, Thrive, Kleiner, YC and others). Unverified - the page could not be read.</t>
  </si>
  <si>
    <t>https://openai.com/startups/</t>
  </si>
  <si>
    <t>Supabase Startup Program</t>
  </si>
  <si>
    <t>Unknown - no form located</t>
  </si>
  <si>
    <t>Aggregators claim 'verified affiliation with an approved VC firm or startup accelerator' is required and that the route is through a partner's perk page (YC, Techstars) rather than a public form. Unverified.</t>
  </si>
  <si>
    <t>https://supabase.com/solutions/startups</t>
  </si>
  <si>
    <t>Groq for Startups (Partner Program)</t>
  </si>
  <si>
    <t>Unknown; startups@groq.com is the stated contact</t>
  </si>
  <si>
    <t>Described as 'an exclusive opportunity for hand-selected scaling companies', with eligibility 'determined at Groq's sole discretion'. If accurate this is invite-only rather than open, but that wording comes from an aggregator, not from Groq's page.</t>
  </si>
  <si>
    <t>https://groq.com/groq-partner-program</t>
  </si>
  <si>
    <t>Pioneers</t>
  </si>
  <si>
    <t>France (Paris), with a one-month US residency</t>
  </si>
  <si>
    <t>100,000 EUR for 7% of the company</t>
  </si>
  <si>
    <t>Explicitly built around individuals: spend a four-week expedition with 35 pioneers to meet your co-founder. Solo applicants are the default input, not an exception.</t>
  </si>
  <si>
    <t>Programme based in Paris at Station F, plus a one-month Silicon Valley residency</t>
  </si>
  <si>
    <t>https://thepioneer.vc</t>
  </si>
  <si>
    <t>Merantix AI Campus (Residency and Community)</t>
  </si>
  <si>
    <t>Unverified ‚Äî entry appears to be via a contact form rather than a structured application.</t>
  </si>
  <si>
    <t>Berlin, in person.</t>
  </si>
  <si>
    <t>https://www.merantix-aicampus.com/community</t>
  </si>
  <si>
    <t>Microsoft GenAI Studio at STATION F</t>
  </si>
  <si>
    <t>The page states the programme is entirely free for startups; no equity mentioned</t>
  </si>
  <si>
    <t>STATION F, Paris; two desks; workshops every Thursday for 1 to 2 hours</t>
  </si>
  <si>
    <t>The page states "Pour 15 startups francaises" - French startups only, which implies a French entity. Treat as a conditional wall rather than a certainty until the linked form is opened.</t>
  </si>
  <si>
    <t>https://aka.ms/GenAIStudio</t>
  </si>
  <si>
    <t>Grants for Market Clarification / Commercialisation phase 1 and 2</t>
  </si>
  <si>
    <t>Norway</t>
  </si>
  <si>
    <t>Unknown; a common application template covers several schemes. There is also a 'rapid assessment tool' at raskavklaring.innovasjonnorge.no which may be reachable without ID-porten.</t>
  </si>
  <si>
    <t>Norway. Notably, 'Registered Norwegian Branches of Foreign Companies (NUF) have the opportunity to apply, provided their operations and projects are situated within Norway' ‚Äî a branch, not a full subsidiary, may suffice.</t>
  </si>
  <si>
    <t>none confirmed; the ID-porten login requires a Norwegian national identity number, which is a practical barrier for a non-resident</t>
  </si>
  <si>
    <t>https://start.innovasjonnorge.no/</t>
  </si>
  <si>
    <t>AcceleratorX ‚Äî Cohort 1</t>
  </si>
  <si>
    <t>Europe ‚Äî EU-based founding teams</t>
  </si>
  <si>
    <t>Case-by-case; 'our terms are founder-friendly'</t>
  </si>
  <si>
    <t>Requires 'at least one technical co-founder' on an EU-based founding team</t>
  </si>
  <si>
    <t>6‚Äì8 weeks from submission to decision</t>
  </si>
  <si>
    <t>'EU-based founding teams'</t>
  </si>
  <si>
    <t>'led by EU-based founding teams with at least one technical co-founder'. The founder is currently in Bangalore and solo. The EU-residence requirement is the harder half of this and may be a genuine wall.</t>
  </si>
  <si>
    <t>https://acceleratorx.eu/</t>
  </si>
  <si>
    <t>Global Entrepreneur in Residence (GEIR)</t>
  </si>
  <si>
    <t>United States (Massachusetts, New Jersey, California, Ohio)</t>
  </si>
  <si>
    <t>Individual programme.</t>
  </si>
  <si>
    <t>Unverified. Varies by university.</t>
  </si>
  <si>
    <t>Relocation to the sponsoring university's state, with a minimum of 8 hours per week on campus.</t>
  </si>
  <si>
    <t>Probable but NOT confirmed. Search summaries describe participants as 'typically current or recently graduated international students' at the sponsoring US institution and 'international students eligible for cap-exempt H-1B visa status'. A TUM alumnus with no US student history likely fails this, but the requirement varies by university and I could not confirm it from a programme page ‚Äî so I am deliberately not calling it a definite wall.</t>
  </si>
  <si>
    <t>https://babson.edu/entrepreneurship-center/startup-incubation/global-entrepreneur-in-residence-program/</t>
  </si>
  <si>
    <t>1517 Fund Medici Grants</t>
  </si>
  <si>
    <t>'This is a no strings attached grant ‚Äî we don't own you, your project, any IP generated, future equity in anything you generate.' Fully non-dilutive.</t>
  </si>
  <si>
    <t>Individual and collaborator grants both supported.</t>
  </si>
  <si>
    <t>Very low. Write in about the Medici Program.</t>
  </si>
  <si>
    <t>Reportedly North America only ‚Äî the binding constraint if true.</t>
  </si>
  <si>
    <t>https://www.1517fund.com/medici</t>
  </si>
  <si>
    <t>Founders of the Future</t>
  </si>
  <si>
    <t>https://technation.io/programmes/foundersofthefuture/</t>
  </si>
  <si>
    <t>Pioneers AI Lab</t>
  </si>
  <si>
    <t>Europe ‚Äî Station F, Paris</t>
  </si>
  <si>
    <t>Prize-based; terms not published</t>
  </si>
  <si>
    <t>'the top 8 AI builders in Europe' ‚Äî individual-based</t>
  </si>
  <si>
    <t>Weekly on-site Saturday sessions at STATION F, Paris, for 3 months; daily async progress in between</t>
  </si>
  <si>
    <t>https://www.pioneerslab.ai/</t>
  </si>
  <si>
    <t>AGI House SF</t>
  </si>
  <si>
    <t>None stated.</t>
  </si>
  <si>
    <t>Not applicable ‚Äî individual residency.</t>
  </si>
  <si>
    <t>Unknown. Likely relationship-driven rather than form-driven.</t>
  </si>
  <si>
    <t>San Francisco, live-in for roommates; events are attendance-based.</t>
  </si>
  <si>
    <t>LUISS EnLabs Acceleration Program</t>
  </si>
  <si>
    <t>Italy (Rome, with a Milan space)</t>
  </si>
  <si>
    <t>Equity investment; percentage not published</t>
  </si>
  <si>
    <t>Rome or Milan</t>
  </si>
  <si>
    <t>https://lventuregroup.com/en/</t>
  </si>
  <si>
    <t>PoliHub acceleration and Call4Startups</t>
  </si>
  <si>
    <t>Italy (Milan)</t>
  </si>
  <si>
    <t>Milan</t>
  </si>
  <si>
    <t>https://polihub.it/en/category/programmi-en/</t>
  </si>
  <si>
    <t>UK Innovator Founder Visa ‚Äî endorsement route</t>
  </si>
  <si>
    <t>Individual route; solo is standard. An endorsing body assesses YOU and YOUR business idea.</t>
  </si>
  <si>
    <t>Moderate-to-high: an endorsing body application plus assessment questions or interviews, with a ¬£1,000 endorsement fee. The business must be shown innovative, viable and scalable.</t>
  </si>
  <si>
    <t>You must run the business in the UK. No prior UK presence needed to seek endorsement.</t>
  </si>
  <si>
    <t>https://www.gov.uk/government/publications/endorsing-bodies-innovator-founder-and-scale-up-visas</t>
  </si>
  <si>
    <t>ITEA 4 ‚Äî Call 2026 (Eureka Cluster for software innovation)</t>
  </si>
  <si>
    <t>Pan-European (Eureka member and associated countries)</t>
  </si>
  <si>
    <t>Not addressed; the constraint is consortium composition, not founder count.</t>
  </si>
  <si>
    <t>Very high and long-cycle: Project Outline, then Letter of Intent, then Full Project Proposal five months later, with partner recruitment in between. Not a solo weekend exercise.</t>
  </si>
  <si>
    <t>"Project consortia need to have at least two different partners from two different countries, of which one must be a Eureka Member Country and another one either a Eureka Member Country or a Eureka Associated Country."</t>
  </si>
  <si>
    <t>Consortium requirement plus an entity in a Eureka country; not reachable solo and pre-incorporation.</t>
  </si>
  <si>
    <t>https://itea4.org/current-call.html</t>
  </si>
  <si>
    <t>European Digital Innovation Hubs (EDIH) ‚Äî Test Before Invest and free SME services</t>
  </si>
  <si>
    <t>EU Member States + Digital Europe associated countries (83 EDIHs funded, 102 with recognised status)</t>
  </si>
  <si>
    <t>Fully non-dilutive, no equity, no repayment.</t>
  </si>
  <si>
    <t>Not a factor ‚Äî hubs serve companies, and a one-person SME qualifies.</t>
  </si>
  <si>
    <t>Very low ‚Äî a conversation with a local hub and a short service request. Hours, not weeks.</t>
  </si>
  <si>
    <t>EU Member State or Digital Europe associated country establishment. A European legal entity is required ‚Äî this is the decisive lane answer for EDIH.</t>
  </si>
  <si>
    <t>An EU or associated-country company must exist. "Eligible for funding are companies and public institutions from EU Member States and associated countries."</t>
  </si>
  <si>
    <t>https://european-digital-innovation-hubs.ec.europa.eu/</t>
  </si>
  <si>
    <t>EIC Scaling Club 2.0</t>
  </si>
  <si>
    <t>Free and non-dilutive.</t>
  </si>
  <si>
    <t>Low ‚Äî an expression-of-interest survey.</t>
  </si>
  <si>
    <t>European deep tech companies.</t>
  </si>
  <si>
    <t>Stage and thematic gates: members are selected on "potential to build world-class businesses" in named domains (Agri &amp; Food Tech, Batteries &amp; Energy Storage, Cardiovascular Therapies, Clean Fuels &amp; Hydrogen, New Biotech Platforms, New Space). A pre-revenue horizontal software product is outside both the stage and the domain list.</t>
  </si>
  <si>
    <t>https://eic.ec.europa.eu/eic-funding-opportunities/bas/eic-scaling-club_en</t>
  </si>
  <si>
    <t>Tech Nation Upscale</t>
  </si>
  <si>
    <t>Not stated; the programme addresses a founder plus C-suite, presuming a company with executives.</t>
  </si>
  <si>
    <t>https://technation.io/programmes/upscale/</t>
  </si>
  <si>
    <t>IGNITE Accelerator Programme</t>
  </si>
  <si>
    <t>UK and Ireland ‚Äî London, Manchester, Edinburgh, Belfast, Dublin, Cambridge, Sheffield, Bristol</t>
  </si>
  <si>
    <t>Aimed at FIRST-TIME FOUNDERS; no solo bar stated.</t>
  </si>
  <si>
    <t>Eight UK and Irish cities including Dublin and Belfast.</t>
  </si>
  <si>
    <t>https://ignitecomp.co.uk/accelerator/</t>
  </si>
  <si>
    <t>Portugal Startup Visa</t>
  </si>
  <si>
    <t>Portugal</t>
  </si>
  <si>
    <t>A viable and innovative business plan approved by a certified incubator, then an IAPMEI submission, then the visa application itself</t>
  </si>
  <si>
    <t>Portugal. Grants two years of residency, a path to permanent residence, and citizenship eligibility after five years.</t>
  </si>
  <si>
    <t>https://startupportugal.com/</t>
  </si>
  <si>
    <t>Hexa Start (formerly eFounders)</t>
  </si>
  <si>
    <t>France and Belgium (Paris, Brussels), with time in San Francisco</t>
  </si>
  <si>
    <t>25% of the company to Hexa</t>
  </si>
  <si>
    <t>Designed for individuals; Hexa helps you meet the ideal co-founder. Applications are per person, by role, either CEO or CTO.</t>
  </si>
  <si>
    <t>Paris or Brussels studio, plus time living and working in San Francisco</t>
  </si>
  <si>
    <t>https://apply.hexa.com/apply?track=business</t>
  </si>
  <si>
    <t>Medici Project grants</t>
  </si>
  <si>
    <t>Fully non-dilutive - "1517 doesn't own you, your project, any IP generated, future equity in anything you generate"</t>
  </si>
  <si>
    <t>Individuals; aimed at "makers not movers &amp; shakers"</t>
  </si>
  <si>
    <t>Very low - email any 1517 partner with a five-minute Loom video</t>
  </si>
  <si>
    <t>Reported: "must be based in North America"</t>
  </si>
  <si>
    <t>Reported North America residency requirement, which the founder does not satisfy from Bangalore. Also framed for "high school students, college students, dropouts" and young builders, which is a fit mismatch rather than a stated bar.</t>
  </si>
  <si>
    <t>Demium / Mission Incubation Programme</t>
  </si>
  <si>
    <t>Spain (Madrid, Valencia and other hubs)</t>
  </si>
  <si>
    <t>Explicitly welcomes solo founders - reported as open to solo founders as well as existing co-founding teams, and as not requiring a fixed concept on arrival</t>
  </si>
  <si>
    <t>Spain</t>
  </si>
  <si>
    <t>https://www.demium.com/apply</t>
  </si>
  <si>
    <t>J-Startup</t>
  </si>
  <si>
    <t>Non-dilutive support programme</t>
  </si>
  <si>
    <t>Not an open application</t>
  </si>
  <si>
    <t>Selection is by recommendation, not application. The page states companies are 'Recommended by top venture capitalists, accelerators, and corporate innovation leaders'. There is no self-nomination route, and the programme supports Japanese companies.</t>
  </si>
  <si>
    <t>28DIGITAL Champions (formerly EIT Digital Challenge)</t>
  </si>
  <si>
    <t>EU Member States + Horizon Europe Associated Countries</t>
  </si>
  <si>
    <t>Non-dilutive support services.</t>
  </si>
  <si>
    <t>Not addressed; the gates are company-level.</t>
  </si>
  <si>
    <t>Incorporated in an EU Member State or associated country.</t>
  </si>
  <si>
    <t>Traction wall in recent editions: companies must be incorporated in an EU-27 or associated country after 1 January 2015 AND have either annual revenue of at least EUR 500,000 or at least EUR 2 million raised. Supaprod has zero revenue and no external raise, so it fails both limbs on the published thresholds. Confirm whether the rebranded 2026 edition kept these thresholds.</t>
  </si>
  <si>
    <t>https://www.eit.europa.eu/our-activities/opportunities/eit-digital-challenge-scale-your-deep-tech-business</t>
  </si>
  <si>
    <t>Founder-in-Residence (FIR)</t>
  </si>
  <si>
    <t>US ‚Äî San Francisco Bay Area</t>
  </si>
  <si>
    <t>FIR programmes are individual-based by construction</t>
  </si>
  <si>
    <t>Low ‚Äî an Ashby application form</t>
  </si>
  <si>
    <t>'Work side by side with our partners in San Francisco Bay Area'</t>
  </si>
  <si>
    <t>https://jobs.ashbyhq.com/embedding-vc/c6140da2-a8ed-418f-9dde-2db79f4b368d</t>
  </si>
  <si>
    <t>Tenity Singapore Incubation (Batch VII)</t>
  </si>
  <si>
    <t>Singapore / Southeast Asia</t>
  </si>
  <si>
    <t>SGD 70K for 2.5% equity, PLUS a programme participation fee of SGD 15K payable by the startup. Net of the fee that is roughly SGD 55K for 2.5% - and it is one of only two programmes in this lane where the founder pays to attend, the other being Sanabil Accelerator.</t>
  </si>
  <si>
    <t>Not established - no live batch page exists to describe it. Scouting contact is scouting@tenity.com.</t>
  </si>
  <si>
    <t>"Tenity mainly focuses on startups coming from Singapore and South-East Asia."</t>
  </si>
  <si>
    <t>Conditional and material even if a batch opens: "For startups from other countries in the region... they are happy to receive applications, but applicants should be prepared to reincorporate in one of the primarily mentioned countries to be accepted." The named countries are Singapore, SEA, Indonesia, Philippines, Vietnam, Taiwan, Thailand and Hong Kong. India is not on that list. Reincorporation in Singapore would not conflict with the founder's India ruling, but it is a condition of acceptance rather than of application.</t>
  </si>
  <si>
    <t>https://www.tenity.com/programs/</t>
  </si>
  <si>
    <t>Eureka Network Projects (bilateral and multilateral calls)</t>
  </si>
  <si>
    <t>Pan-European + Eureka associated countries</t>
  </si>
  <si>
    <t>Non-dilutive national grants.</t>
  </si>
  <si>
    <t>High; two national processes run in parallel.</t>
  </si>
  <si>
    <t>Entities in at least two Eureka countries.</t>
  </si>
  <si>
    <t>Same structural wall as Eurostars: entities in at least two Eureka countries.</t>
  </si>
  <si>
    <t>https://www.eurekanetwork.org/apply/</t>
  </si>
  <si>
    <t>Techstars Paris</t>
  </si>
  <si>
    <t>Standard Techstars terms if the programme runs</t>
  </si>
  <si>
    <t>Techstars historically prefers 2+ founders but publishes no hard bar</t>
  </si>
  <si>
    <t>Paris, if it runs</t>
  </si>
  <si>
    <t>ICURe Explore</t>
  </si>
  <si>
    <t>Research-team based.</t>
  </si>
  <si>
    <t>UK academic labs, research institutes, incubators or national facilities.</t>
  </si>
  <si>
    <t>Restricted to UK academic and research-institute teams: "ICURe Explore is open to research teams in the UK excluding those from incorporated and/or trading companies". Requires a research affiliation the founder does not hold.</t>
  </si>
  <si>
    <t>https://www.setsquared.co.uk/programme/icure-programme/</t>
  </si>
  <si>
    <t>Beyond Beta ‚Äî Batch #15</t>
  </si>
  <si>
    <t>'free to participate in as it is EU-funded'.</t>
  </si>
  <si>
    <t>Requires 'a committed founder team' ‚Äî wording implies a team but does not publish a minimum number.</t>
  </si>
  <si>
    <t>Est. 4-8 hours.</t>
  </si>
  <si>
    <t>Denmark.</t>
  </si>
  <si>
    <t>Danish CVR number required at submission: 'The CVR-number of the company may not be older than 7 years, when you submit your application' ‚Äî this presupposes a CVR exists at submission time, unlike Innofounder which only requires one at programme start.</t>
  </si>
  <si>
    <t>https://beyondbeta.ehsys.dk/workshops/vis/0a14e167-1f38-4782-8149-9160f972ef54</t>
  </si>
  <si>
    <t>The House AI Accelerator</t>
  </si>
  <si>
    <t>Berkeley, California, USA</t>
  </si>
  <si>
    <t>"We invest on a standard SAFE for 7-10%"</t>
  </si>
  <si>
    <t>Not verifiable while the cycle status is unresolved. Useful detail on the page: "Have an offer from another program? Note this in your application, and we'll accelerate your interview &amp; decision."</t>
  </si>
  <si>
    <t>In person at The House in Berkeley, Wednesdays and Thursdays 12:00-20:00 for 10 weeks</t>
  </si>
  <si>
    <t>UC BERKELEY AFFILIATION. Verbatim eligibility statement: "All Cal alumni, faculty, student, and affiliate entrepreneurs, especially those from underrepresented backgrounds, are eligible." The programme is designed for UC Berkeley-affiliated founders building AI companies. The founder is a TUM alumnus with no Berkeley affiliation and does not fall into any listed category.</t>
  </si>
  <si>
    <t>https://www.thehouse.fund/ai-accelerator</t>
  </si>
  <si>
    <t>AI Testing and Experimentation Facilities (AI TEFs) ‚Äî sectorial open calls</t>
  </si>
  <si>
    <t>EU Member States + Digital Europe associated countries</t>
  </si>
  <si>
    <t>Non-dilutive cascade funding.</t>
  </si>
  <si>
    <t>Low to moderate ‚Äî cascade calls are deliberately lighter than mainline EU calls.</t>
  </si>
  <si>
    <t>EU SME criteria plus EU or associated-country establishment. A European legal entity is required.</t>
  </si>
  <si>
    <t>Sector fit is the practical wall: the four TEFs are agri-food, manufacturing, healthcare, and smart cities and communities. A horizontal product-lifecycle platform has no natural home unless it is deliberately framed for one vertical.</t>
  </si>
  <si>
    <t>https://digital-strategy.ec.europa.eu/en/policies/testing-and-experimentation-facilities</t>
  </si>
  <si>
    <t>Startup Fund (Pre-Seed, Seed and DeepTech tracks)</t>
  </si>
  <si>
    <t>"The Innovation Authority provides non-dilutive funding and will not take equity or any voting rights in the company"</t>
  </si>
  <si>
    <t>Substantial - full R&amp;D application</t>
  </si>
  <si>
    <t>Requires an Israeli-registered company with significant operations in Israel. Foreign entrepreneurs can only access IIA programmes through such an entity, which does not exist and would be a major structural commitment.</t>
  </si>
  <si>
    <t>https://innovationisrael.org.il/en/programs/startup-fund/</t>
  </si>
  <si>
    <t>JetBrains Startup Program</t>
  </si>
  <si>
    <t>No team-size requirement; 10 licences far exceeds a solo founder's need</t>
  </si>
  <si>
    <t>Reported requirement that the startup be 'privately held, established less than 5 years ago, and have a website or existing public references on the internet' - 'privately held' implies a legal entity. Unverified.</t>
  </si>
  <si>
    <t>https://www.jetbrains.com/startups/</t>
  </si>
  <si>
    <t>New European Bauhaus Prizes 2026</t>
  </si>
  <si>
    <t>EU + international strand (extended to Moldova and Ukraine)</t>
  </si>
  <si>
    <t>Open to individuals and to young talents; solo-friendly.</t>
  </si>
  <si>
    <t>EU plus the international strand.</t>
  </si>
  <si>
    <t>Thematic wall. The New European Bauhaus concerns sustainability, aesthetics and inclusion in the built and lived environment ‚Äî architecture, design, community regeneration. A software product-lifecycle platform has no plausible entry.</t>
  </si>
  <si>
    <t>https://prizes.new-european-bauhaus.europa.eu/</t>
  </si>
  <si>
    <t>French Tech Tremplin - Incubation (Edition 5)</t>
  </si>
  <si>
    <t>Diversity eligibility criteria require applicants to reside in a French priority policy area (QPV) or a rural zone, or to come from a socioeconomically under-represented background. A founder in Bangalore fails the residence test.</t>
  </si>
  <si>
    <t>https://app.bel.bpifrance.fr/subscribe/french-tech-tremplin</t>
  </si>
  <si>
    <t>Digital Europe Programme 2026 ‚Äî DIGITAL-2026-BESTUSE-10 and DIGITAL-2026-SKILLS-10</t>
  </si>
  <si>
    <t>Non-dilutive grants, typically 50% co-funding, 100% for some topics.</t>
  </si>
  <si>
    <t>Not addressed; consortium-level instrument.</t>
  </si>
  <si>
    <t>Very high ‚Äî full EU consortium proposal with partners, work packages and co-funding. 100+ hours and months of partner assembly.</t>
  </si>
  <si>
    <t>Legal entities established in EU Member States or Digital Europe associated countries. A European legal entity IS required to apply.</t>
  </si>
  <si>
    <t>Fit rather than eligibility. The 2026 topics are skills, deployment and public-good oriented (digital skills for AI uptake, Safer Internet Centres, information integrity), not product R&amp;D for commercial SaaS. Most also require multi-country consortia and public-interest deliverables.</t>
  </si>
  <si>
    <t>https://ec.europa.eu/info/funding-tenders/opportunities/portal/screen/programmes/digital</t>
  </si>
  <si>
    <t>European Innovation Procurement Awards (EUIPA)</t>
  </si>
  <si>
    <t>EU or Associated Country procuring organisations.</t>
  </si>
  <si>
    <t>Wrong beneficiary class. EUIPA rewards PROCURERS ‚Äî public and private buying organisations that procured innovation well ‚Äî not the innovating supplier. A startup is not the applicant.</t>
  </si>
  <si>
    <t>https://eic.ec.europa.eu/eic-prizes/european-innovation-procurement-awards_en</t>
  </si>
  <si>
    <t>1517 Fund Medici Project</t>
  </si>
  <si>
    <t>Zero. "This is a no strings attached grant - we don't own you, your project, any IP generated, future equity in anything you generate, etc."</t>
  </si>
  <si>
    <t>Individual-first; collaborators can share a grant.</t>
  </si>
  <si>
    <t>Moot. Would be ~30 minutes: a five-minute Loom video.</t>
  </si>
  <si>
    <t>North America. "1517 supports hackers and makers all over the world through community and mentorship but unfortunately due to international regulations and rules, we are unable to issue grants to teams based outside of North America."</t>
  </si>
  <si>
    <t>TWO INDEPENDENT WALLS. (1) Eligibility is "high school, college students, and dropouts" plus deep tech scientists - the form's own selector reads "I DO NOT have an undergraduate degree / I am CURRENTLY in High School or Undergrad studies / I am a deep tech scientist". The founder holds a TUM degree. (2) Grants cannot be issued outside North America and the founder is in Bangalore.</t>
  </si>
  <si>
    <t>Open Horizons Project (equity-free grants for women-led deep tech and digital startups)</t>
  </si>
  <si>
    <t>Not addressed beyond the leadership criterion.</t>
  </si>
  <si>
    <t>"Based in an EU Member State or Horizon Europe-associated country."</t>
  </si>
  <si>
    <t>Gender eligibility wall: "Led by at least one woman in a key executive role (CEO, CTO, or Founder) with minimum 25% ownership." The founder does not meet this.</t>
  </si>
  <si>
    <t>https://www.openhorizonsproject.eu</t>
  </si>
  <si>
    <t>EIT Jumpstarter 2026</t>
  </si>
  <si>
    <t>EIT Regional Innovation Scheme (RIS) countries only</t>
  </si>
  <si>
    <t>Non-dilutive prizes.</t>
  </si>
  <si>
    <t>Designed for early-stage individual innovators; solo-friendly in principle.</t>
  </si>
  <si>
    <t>Low-moderate.</t>
  </si>
  <si>
    <t>EIT RIS country.</t>
  </si>
  <si>
    <t>Geographic eligibility wall. Applicants must be from EIT RIS-eligible countries ‚Äî a defined list of EU Member States (Bulgaria, Croatia, Cyprus, Czechia, Estonia, Greece, Hungary, Italy, Latvia, Lithuania, Malta, Poland, Portugal, Romania, Slovenia, Slovakia, Spain), EU Outermost Regions, and Associated Countries/territories (Albania, Armenia, Bosnia &amp; Herzegovina, Kosovo, Moldova, Montenegro, North Macedonia, Serbia, Ukraine, T√ºrkiye). India is not eligible, and neither are the higher-income EU states.</t>
  </si>
  <si>
    <t>https://eitjumpstarter.eu/</t>
  </si>
  <si>
    <t>GC Venture Fellowship (formerly Rough Draft Ventures)</t>
  </si>
  <si>
    <t>US, Canada and UK universities</t>
  </si>
  <si>
    <t>Standard founder-friendly SAFE for the companies invested in. The fellowship itself is a role, not an investment in the fellow.</t>
  </si>
  <si>
    <t>Not applicable - this is a scout role, not a founder programme.</t>
  </si>
  <si>
    <t>Enrolled at an eligible US, Canadian or UK university.</t>
  </si>
  <si>
    <t>STUDENT ENROLMENT, plus a category mismatch. Fellows must be "enrolled at an eligible U.S., Canadian or U.K. university" with a preference for at least one full academic year remaining. The founder is not a student. Separately, the fellowship is an investor-side scouting role, not founder support.</t>
  </si>
  <si>
    <t>https://www.generalcatalyst.com/stories/introducing-the-gc-venture-fellowship</t>
  </si>
  <si>
    <t>INiTS SCALEup Incubation</t>
  </si>
  <si>
    <t>No participant costs stated; any equity position is not published</t>
  </si>
  <si>
    <t>Registration form, then a free non-binding interview within seven days, then qualification workshops and a pitch to a project advisory board</t>
  </si>
  <si>
    <t>Listed as one of four expectations: ready to found your startup in Vienna</t>
  </si>
  <si>
    <t>https://www.inits.at/en/registration/</t>
  </si>
  <si>
    <t>Nana Bianca</t>
  </si>
  <si>
    <t>Italy (Florence)</t>
  </si>
  <si>
    <t>Florence</t>
  </si>
  <si>
    <t>https://www.nanabianca.it/en</t>
  </si>
  <si>
    <t>Eureka Innowwide (market feasibility / viability assessment grants)</t>
  </si>
  <si>
    <t>EU + Iceland, Israel, Norway, Switzerland, T√ºrkiye, UK</t>
  </si>
  <si>
    <t>Fully non-dilutive.</t>
  </si>
  <si>
    <t>Not addressed ‚Äî this funds a company's market-entry study, not a cohort.</t>
  </si>
  <si>
    <t>Low by EU standards ‚Äî a single-company feasibility proposal, no consortium. Perhaps 15-25 hours.</t>
  </si>
  <si>
    <t>"You can apply if you are an SME or startup from an EU Member State, Iceland, Israel, Norway, Switzerland, T√ºrkiye or the United Kingdom." Applications must also include an independent subcontractor established in the target country.</t>
  </si>
  <si>
    <t>An EU/associated SME must exist to apply. No consortium is needed, which is unusual and favourable.</t>
  </si>
  <si>
    <t>https://www.eurekanetwork.org/programmes-and-calls/innowwide/</t>
  </si>
  <si>
    <t>Innovation Radar Prize</t>
  </si>
  <si>
    <t>Not applicable ‚Äî nomination is derived from EU project data, not submitted.</t>
  </si>
  <si>
    <t>Participants in EU-funded projects.</t>
  </si>
  <si>
    <t>Closed population. Candidates are identified by the Innovation Radar from the results of EU-FUNDED projects ‚Äî only innovators inside EU-funded research projects enter the pool. With no EU-funded project, there is no path in.</t>
  </si>
  <si>
    <t>https://innovation-radar.ec.europa.eu/innoradarprize</t>
  </si>
  <si>
    <t>WILCO (Enterprise Software track)</t>
  </si>
  <si>
    <t>France (Paris region)</t>
  </si>
  <si>
    <t>No equity taken</t>
  </si>
  <si>
    <t>WILCO One is reserved for innovative tech startups set up less than three years ago in the Paris region</t>
  </si>
  <si>
    <t>WILCO One requires a company already set up in the Paris region. Whether the other tracks carry the same rule was not verified. If it holds, this is an entity-plus-geography wall rather than a preference.</t>
  </si>
  <si>
    <t>https://www.wilco-ambitions.com/en/startup/calls-for-applications/</t>
  </si>
  <si>
    <t>EUIPO SME Fund 2026 (Ideas Powered for Business)</t>
  </si>
  <si>
    <t>European Union</t>
  </si>
  <si>
    <t>Non-dilutive fee reimbursement.</t>
  </si>
  <si>
    <t>Very low ‚Äî a voucher application, then reimbursement claims. A few hours.</t>
  </si>
  <si>
    <t>EU-established SME. A European legal entity is required ‚Äî the decisive lane answer for EUIPO.</t>
  </si>
  <si>
    <t>An EU-established SME must exist. No route for a non-EU or unincorporated applicant.</t>
  </si>
  <si>
    <t>https://www.euipo.europa.eu/en/sme-corner/sme-fund/2026</t>
  </si>
  <si>
    <t>Hotbed</t>
  </si>
  <si>
    <t>Low ‚Äî register interest.</t>
  </si>
  <si>
    <t>Requires ¬£75,000+ raised OR ¬£75,000 revenue in the past six months. Supaprod has zero revenue and no external capital, failing both limbs.</t>
  </si>
  <si>
    <t>https://www.hotbed.co/</t>
  </si>
  <si>
    <t>EIC Pathfinder Open 2026</t>
  </si>
  <si>
    <t>Default route requires at least 3 independent entities from 3 different Member States/Associated Countries; a single entity may apply in its own right but most funded projects are consortia.</t>
  </si>
  <si>
    <t>Very high, full RIA proposal.</t>
  </si>
  <si>
    <t>EU Member State or Horizon Europe Associated Country establishment.</t>
  </si>
  <si>
    <t>An EU/AC legal entity must exist to submit, and the default route requires a 3-entity, 3-country consortium.</t>
  </si>
  <si>
    <t>https://ec.europa.eu/info/funding-tenders/opportunities/portal/screen/opportunities/calls-for-proposals?callIdentifier=HORIZON-EIC-2026-PATHFINDEROPEN</t>
  </si>
  <si>
    <t>European Prize for Women Innovators / EIC Rising Innovators</t>
  </si>
  <si>
    <t>Cash prizes, fully non-dilutive.</t>
  </si>
  <si>
    <t>Individual prize ‚Äî solo-friendly by construction.</t>
  </si>
  <si>
    <t>Low to moderate for a prize application.</t>
  </si>
  <si>
    <t>EU or Horizon Europe Associated Country.</t>
  </si>
  <si>
    <t>Gender eligibility wall across the prize as published. The EIC Rising Innovators category is described as targeting "promising innovators under the age of 35" but sits inside the Women Innovators prize, which is "Open to women founders and co-founders from the EU and Associated Countries". Verify in phase 2 whether Rising Innovators is genuinely gender-open; if it is, it becomes a real candidate for the 2027 cycle. EU/AC country eligibility would still bind.</t>
  </si>
  <si>
    <t>https://www.eit.europa.eu/our-activities/opportunities/european-prize-women-innovators-2026-call</t>
  </si>
  <si>
    <t>Apply AI Startup Award 2026</t>
  </si>
  <si>
    <t>Non-dilutive; no money changes hands.</t>
  </si>
  <si>
    <t>Not addressed; the gate is company-level.</t>
  </si>
  <si>
    <t>Low if nominated, impossible if not.</t>
  </si>
  <si>
    <t>EU headquarters plus EU majority ownership.</t>
  </si>
  <si>
    <t>Three walls. (1) "be headquartered in the European Union and be directly majority-owned, meaning more than 50% of the capital is held by entities established in the European Union". (2) "companies must be nominated by national startup associations. Only upon receiving an invitation can candidates complete the application form" ‚Äî nomination-gated, not open entry. (3) Core business must sit in one of the Apply AI Strategy sectors (healthcare, robotics, manufacturing, defence, mobility, electronic communications, energy, climate, agri-food, cultural/creative, public sector) ‚Äî a horizontal developer-tools platform is not among them.</t>
  </si>
  <si>
    <t>https://www.f6s.com/apply-ai-startup-award</t>
  </si>
  <si>
    <t>NRC Industrial Research Assistance Program (IRAP)</t>
  </si>
  <si>
    <t>Non-dilutive contribution funding</t>
  </si>
  <si>
    <t>High. An advisor relationship is required before any application.</t>
  </si>
  <si>
    <t>IRAP's long-standing published requirement is an incorporated, profit-oriented Canadian SME with employees. The founder has no Canadian entity and does not intend one. Flagged on the strength of the programme's established rule, but it must be re-checked against the live page in verification since that page could not be read here.</t>
  </si>
  <si>
    <t>https://nrc.canada.ca/en/support-technology-innovation/financial-support-technology-innovation</t>
  </si>
  <si>
    <t>Horizon Europe Cluster 4 ‚Äî Challenge-Driven GenAI4EU Booster (HORIZON-CL4-2026-04-DIGITAL-EMERGING-19)</t>
  </si>
  <si>
    <t>EU + eligible countries (EU Member States, Iceland, Norway, Canada, Israel, Republic of Korea, New Zealand, Switzerland, United Kingdom)</t>
  </si>
  <si>
    <t>Extremely high.</t>
  </si>
  <si>
    <t>Legal entity established in an eligible country.</t>
  </si>
  <si>
    <t>Consortium instrument ‚Äî collaborative Horizon Europe projects require at least three independent legal entities from three different Member States or Associated Countries, and EUR 15M project sizes are institutional-consortium scale.</t>
  </si>
  <si>
    <t>https://ec.europa.eu/info/funding-tenders/opportunities/portal/screen/opportunities/topic-details/HORIZON-CL4-2026-04-DIGITAL-EMERGING-19</t>
  </si>
  <si>
    <t>European Innovation Ecosystems (EIE) 2026 CONNECT calls</t>
  </si>
  <si>
    <t>Non-dilutive grants.</t>
  </si>
  <si>
    <t>Very high.</t>
  </si>
  <si>
    <t>EU or Associated Country legal entities, usually in consortia.</t>
  </si>
  <si>
    <t>Wrong beneficiary class. These calls fund ecosystem BUILDERS ‚Äî accelerators, investment networks, university hubs, technology transfer offices ‚Äî not individual startups. A startup is a downstream beneficiary of these projects, never the applicant.</t>
  </si>
  <si>
    <t>https://eismea.ec.europa.eu/funding-opportunities/calls-proposals/european-startup-and-scaleup-hubs-pilot-horizon-eie-2026-02-connect-01_en</t>
  </si>
  <si>
    <t>Closed</t>
  </si>
  <si>
    <t>skip</t>
  </si>
  <si>
    <t>Learning Engineering Tools Competition</t>
  </si>
  <si>
    <t>CLOSED</t>
  </si>
  <si>
    <t>Page states the competition "welcome[s] individuals and teams at all phases of development"</t>
  </si>
  <si>
    <t>Multi-phase written submission with a learning-science research component</t>
  </si>
  <si>
    <t>https://tools-competition.org/</t>
  </si>
  <si>
    <t>Closed on its own page.</t>
  </si>
  <si>
    <t>Mozilla Builders Accelerator</t>
  </si>
  <si>
    <t>Non-dilutive, no equity taken</t>
  </si>
  <si>
    <t>Individual project leads accepted in the 2024 cohort</t>
  </si>
  <si>
    <t>Unknown for the next cycle</t>
  </si>
  <si>
    <t>None; 200 applicants from 44 countries in the first cohort</t>
  </si>
  <si>
    <t>https://builders.mozilla.org/programs/</t>
  </si>
  <si>
    <t>Long-Term Future Fund</t>
  </si>
  <si>
    <t>"welcomes applications from individuals and organizations globally" - individuals explicitly fundable, unlike SFF</t>
  </si>
  <si>
    <t>Low to moderate</t>
  </si>
  <si>
    <t>Vercel AI Accelerator</t>
  </si>
  <si>
    <t>Remote with demo day in San Francisco, USA</t>
  </si>
  <si>
    <t>Non-dilutive - no equity mentioned</t>
  </si>
  <si>
    <t>The "participants" framing suggests individuals are eligible</t>
  </si>
  <si>
    <t>Not applicable - the form is closed</t>
  </si>
  <si>
    <t>Programme appears remote; demo day is in person in San Francisco</t>
  </si>
  <si>
    <t>https://vercel.com/ai-accelerator</t>
  </si>
  <si>
    <t>Startup Battlefield 200</t>
  </si>
  <si>
    <t>No published team-size rule</t>
  </si>
  <si>
    <t>Moderate - requires a working MVP and a clear product demonstration</t>
  </si>
  <si>
    <t>None to apply; the event is in San Francisco</t>
  </si>
  <si>
    <t>https://techcrunch.com/startup-battlefield/</t>
  </si>
  <si>
    <t>Focal Founder Residency (Miami)</t>
  </si>
  <si>
    <t>US (Miami, Florida)</t>
  </si>
  <si>
    <t>Upfront money is an uncapped SAFE with MFN, explicitly to offset relocation costs. "This is NOT an accelerator taking 7+% for a small check!"</t>
  </si>
  <si>
    <t>Explicitly accepts solo, with a dedicated solo tier. "Hyper selective: 10 startups only (&lt;1% acceptance, can be teams or solo founders)" and the upfront cheque has a specific solo rate of $25K.</t>
  </si>
  <si>
    <t>~2-3 hours when open. Explicitly welcomes the earliest stage: "There's no 'too early' - apply with nothing more than your drive to build a venture scale company, your idea, and the ability to ship exceptional products at breakneck speed."</t>
  </si>
  <si>
    <t>Miami relocation required for all co-founders, costs offset. Minimum 6 days per week in office for 3+ months, plus Sunday office hours with focal.</t>
  </si>
  <si>
    <t>https://www.focal.vc/residency</t>
  </si>
  <si>
    <t>AI Grant</t>
  </si>
  <si>
    <t>Global applicants; summit and demo day in San Francisco</t>
  </si>
  <si>
    <t>"$250,000 on an uncapped SAFE for your AI-native product startup" - a no cap, no discount MFN SAFE.</t>
  </si>
  <si>
    <t>No published team requirement. "we're looking for technical &amp; pragmatic founders who want to ship."</t>
  </si>
  <si>
    <t>Moot while closed. Between batches the canonical inbound path is email.</t>
  </si>
  <si>
    <t>Summit in San Francisco with advisors and founders, plus a Demo Day. Global applicants accepted.</t>
  </si>
  <si>
    <t>http://aigrant.com/</t>
  </si>
  <si>
    <t>Cosmos Fellowship</t>
  </si>
  <si>
    <t>Non-dilutive fellowship</t>
  </si>
  <si>
    <t>Individuals - "both experienced researchers, and promising junior talent"</t>
  </si>
  <si>
    <t>Expression of interest is short; full application unknown</t>
  </si>
  <si>
    <t>No geographic restriction stated; fellows placed at leading AI labs, research groups and the Human-Centred AI Lab at Oxford</t>
  </si>
  <si>
    <t>https://www.cosmos-institute.org/research-and-fellowships</t>
  </si>
  <si>
    <t>MIT Solve Global Challenges</t>
  </si>
  <si>
    <t>Non-dilutive prize funding</t>
  </si>
  <si>
    <t>Open to 'individuals or teams' per Solve's how-to-apply guidance</t>
  </si>
  <si>
    <t>Several hours per MIT Solve's own post-application surveys: 'most applicants reported that they spent several hours completing the application'. Answering the optional questions materially improves odds.</t>
  </si>
  <si>
    <t>None. Applicants come from 190+ countries.</t>
  </si>
  <si>
    <t>https://solve.mit.edu/challenges</t>
  </si>
  <si>
    <t>NDRC Accelerator</t>
  </si>
  <si>
    <t>Founder-friendly SAFE.</t>
  </si>
  <si>
    <t>No solo restriction stated. The page describes seeking "teams with unique domain insight, aligned on vision" ‚Äî a preference expressed in team language, not a published rule.</t>
  </si>
  <si>
    <t>N/A while closed.</t>
  </si>
  <si>
    <t>3 "core" weeks on-site at Dogpatch Labs, Dublin Docklands; the rest facilitated virtually. FAQ notes they work with "international startups that have a strong intent to relocate to or incorporate in Ireland" and consider companies "headquartered and controlled in Ireland".</t>
  </si>
  <si>
    <t>https://www.ndrc.ie/accelerator</t>
  </si>
  <si>
    <t>O'Shaughnessy Fellowships</t>
  </si>
  <si>
    <t>Fully non-dilutive: 'Go from idea to reality while keeping 100% ownership'</t>
  </si>
  <si>
    <t>Individual fellowship for 'researchers, builders and creatives advancing civilization'</t>
  </si>
  <si>
    <t>Unknown until the form re-opens; historically a written application plus video</t>
  </si>
  <si>
    <t>None. Past awardees span Navajo language work, Zambia and documentary film.</t>
  </si>
  <si>
    <t>https://forms.osv.llc/fellowships2026</t>
  </si>
  <si>
    <t>Astera Institute Residency</t>
  </si>
  <si>
    <t>Emeryville, California, USA</t>
  </si>
  <si>
    <t>Fully non-dilutive - residents are typically Astera employees. "If you already have an existing organization, we can work with that structure as well."</t>
  </si>
  <si>
    <t>Individual-first - "The application will be tied to one primary applicant"; co-founders welcome</t>
  </si>
  <si>
    <t>Not applicable this cycle. Historically substantial: a 2-minute video plus 8 questions of under 1000 characters each, then an intro call, a detailed project proposal with budget and milestones, deeper executive conversations, and references.</t>
  </si>
  <si>
    <t>"Residents must be able to work onsite in Emeryville, CA, for the duration of their residency." Relocation and visa support offered.</t>
  </si>
  <si>
    <t>https://astera.org/residency/</t>
  </si>
  <si>
    <t>Founders Battle pitch competition (TechChill)</t>
  </si>
  <si>
    <t>Latvia (Riga)</t>
  </si>
  <si>
    <t>Mixed ‚Äî the pool includes an investment prize, so part of it is not equity-free.</t>
  </si>
  <si>
    <t>Unknown. Judging is via the HopoHopo platform, with 'at least 4 independent evaluations by qualified investors' per application.</t>
  </si>
  <si>
    <t>NO BALTIC-ONLY RULE IS PUBLISHED. Phase 1 inferred one from the 'TOP 20 Baltic startups' framing in third-party coverage; the programme's own page says only 'The contest selects 20 of the most promising startups' and 'All eligible applications will be evaluated by VCs, and industry experts', without defining eligibility by geography. The restriction phase 1 assumed is unsupported.</t>
  </si>
  <si>
    <t>https://www.techchill.co/techchill-founders-battle</t>
  </si>
  <si>
    <t>NGI Zero / Open Internet Stack funds</t>
  </si>
  <si>
    <t>Global (EU-funded, but applicants worldwide)</t>
  </si>
  <si>
    <t>Individuals routinely funded - one of the most individual-friendly grant funds in existence</t>
  </si>
  <si>
    <t>Low - NLnet's proposal form is famously short</t>
  </si>
  <si>
    <t>https://nlnet.nl/propose/</t>
  </si>
  <si>
    <t>Unusual Academy</t>
  </si>
  <si>
    <t>Menlo Park, California, USA</t>
  </si>
  <si>
    <t>Uncapped SAFE for up to $1M in the next financing, plus a 3% program fee</t>
  </si>
  <si>
    <t>PUBLISHED TEAM-SIZE RULE FOUND: "Teams should be 2 - 4 members with at least 1 technical co-founder." A stated 2+ founder expectation - recorded as a stance, and per the screening rules not a reason to drop the row, but the most explicit team requirement of any programme in this lane.</t>
  </si>
  <si>
    <t>Not applicable this cycle</t>
  </si>
  <si>
    <t>One week in person in Menlo Park, California (phase 1 said Bay Area generally; the page says Menlo Park)</t>
  </si>
  <si>
    <t>https://www.unusual.vc/academy/</t>
  </si>
  <si>
    <t>TinySeed</t>
  </si>
  <si>
    <t>Remote (US-administered)</t>
  </si>
  <si>
    <t>Historically approximately 8-12%; not stated on the current apply page</t>
  </si>
  <si>
    <t>Not stated on the current page. TinySeed has historically funded solo founders explicitly and prices its cheque by team size.</t>
  </si>
  <si>
    <t>NONE - fully remote. The only programme in this lane with a real cheque and no location requirement whatsoever.</t>
  </si>
  <si>
    <t>https://apply.tinyseed.com/</t>
  </si>
  <si>
    <t>UnternehmerTUM Accelerator (formerly XPRENEURS) - Batch #21</t>
  </si>
  <si>
    <t>Germany (Munich and Garching)</t>
  </si>
  <si>
    <t>Free, no equity taken. "Cost: free."</t>
  </si>
  <si>
    <t>PUBLISHED 2+ FOUNDER RULE. In their own words: "we require that your business model is based on a technological innovation, and that you have a committed founder team with at least one full-time founder (no single founder)."</t>
  </si>
  <si>
    <t>~4-6 hours. Application, then the best 40-45 startups pitch to the team, then 20-30 are selected.</t>
  </si>
  <si>
    <t>Munich and Garching. Free office and lab space at Munich Urban Colab or Garching. Selection pitches are in person.</t>
  </si>
  <si>
    <t>https://accelerator.unternehmertum.de/accelerator-program</t>
  </si>
  <si>
    <t>Agentic AI Accelerator</t>
  </si>
  <si>
    <t>India-based or with go-to-market in India</t>
  </si>
  <si>
    <t>'No. This is an equity-free program.'</t>
  </si>
  <si>
    <t>JotForm application</t>
  </si>
  <si>
    <t>India-based or GTM in India; in-person kickoff and Demo Day in Bengaluru</t>
  </si>
  <si>
    <t>https://form.jotform.com/260921492728059</t>
  </si>
  <si>
    <t>MIT delta v</t>
  </si>
  <si>
    <t>Cambridge, Massachusetts, USA</t>
  </si>
  <si>
    <t>Fully equity-free</t>
  </si>
  <si>
    <t>SOLO FOUNDERS EXPLICITLY WELCOMED - a correction to phase 1, which recorded this as not stated. Verbatim from the "delta v is for you if..." list: "You have a strong founding team with complementary skill sets... Or you a driven and determined solo founder who can show us why you deserve a place in this year's cohort."</t>
  </si>
  <si>
    <t>In person at MIT, Cambridge, over the summer</t>
  </si>
  <si>
    <t>https://entrepreneurship.mit.edu/accelerator/</t>
  </si>
  <si>
    <t>Astera Residency</t>
  </si>
  <si>
    <t>United States (Emeryville, California)</t>
  </si>
  <si>
    <t>Non-dilutive. The residency 'offers non-dilutive funding for open projects that may be a one-off public good or a precursor to a future for-profit or non-profit organization.'</t>
  </si>
  <si>
    <t>Explicitly welcomes single applicants and co-founders alike: 'The application will be tied to one primary applicant, but there is room to add information about co-founders/additional team members.'</t>
  </si>
  <si>
    <t>8-12 hours. Initial application requires a 2-minute video of you describing the project plus 8 questions each under 1,000 characters. Later stages require a detailed proposal with budget and milestones, plus references.</t>
  </si>
  <si>
    <t>Hard onsite requirement: 'Residents must be able to work onsite in Emeryville, CA, for the duration of their residency.' Relocation and visa support are offered.</t>
  </si>
  <si>
    <t>Neo Residency</t>
  </si>
  <si>
    <t>US (San Francisco, plus Oregon bootcamp and Arizona demo day)</t>
  </si>
  <si>
    <t>Startups: $750K uncapped on a YC standard SAFE, and Neo takes participation rights in your next equity round to buy up to 5% total ownership. Each founder gets a $10K profit share of Neo fund carry. Students: $40K equity-free grant.</t>
  </si>
  <si>
    <t>The FAQ carries "Do you accept solo or non-technical founders?" but the answer was not captured in the retrieved content.</t>
  </si>
  <si>
    <t>Moot for this cycle.</t>
  </si>
  <si>
    <t>Three months at the Neo SF space plus a two-week Oregon bootcamp plus an Arizona closing trip.</t>
  </si>
  <si>
    <t>GEOGRAPHY (probable, needs confirming). The residency page states "We'll accept startup teams and students based in North America." The founder is in Bangalore. The FAQ separately carries "Do you invest in international teams?" whose answer was not captured, so this needs one page read before being treated as a wall.</t>
  </si>
  <si>
    <t>https://neo.com/residency</t>
  </si>
  <si>
    <t>Misk Launchpad 10.0</t>
  </si>
  <si>
    <t>Saudi Arabia / Riyadh (hybrid, delivered virtually)</t>
  </si>
  <si>
    <t>None - a pre-acceleration programme with no equity.</t>
  </si>
  <si>
    <t>One of the very few programmes in this sweep that states a solo policy in writing and states it favourably: "Teams of 2-3 co-founders are preferred, while solo founders are also eligible to apply."</t>
  </si>
  <si>
    <t>Sign up on Misk Hub, then complete an online form. Only one team representative applies.</t>
  </si>
  <si>
    <t>Explicitly nationality-agnostic and mostly virtual: open to "Saudi nationals OR non-Saudis committed to launching in Saudi Arabia", with "the applicant does not need to be a Saudi national." Primarily virtual with optional in-person events in Riyadh. Requires 3 days per week of evening participation across 10 weeks.</t>
  </si>
  <si>
    <t>https://hub.misk.org.sa/en/programs/entrepreneurship/misk-launchpad/</t>
  </si>
  <si>
    <t>AI Accelerator (AI-kiirendi)</t>
  </si>
  <si>
    <t>Estonia (Tallinn)</t>
  </si>
  <si>
    <t>'Program participation itself is free with no equity taken.'</t>
  </si>
  <si>
    <t>Not stated; requires 'motiveeritud ja vajalike oskustega tiim' (a motivated team with the necessary skills).</t>
  </si>
  <si>
    <t>Unknown until the form opens on Aug 24.</t>
  </si>
  <si>
    <t>'Eestis registreeritud ettev√µte' ‚Äî an Estonian-registered company is required.</t>
  </si>
  <si>
    <t>https://www.tehnopol.ee/kiirendi/ai-kiirendi/</t>
  </si>
  <si>
    <t>Bethnal Green Ventures ‚Äî Tech for Good Programme</t>
  </si>
  <si>
    <t>UK ‚Äî London, hybrid</t>
  </si>
  <si>
    <t>Fixed and non-negotiable ‚Äî "We want the teams on the programme to start on equal terms."</t>
  </si>
  <si>
    <t>EXPLICITLY PERMITS SOLO with a stated preference: solo founders may apply but investment is "more likely" with a team. Exactly the shape rule 3 describes ‚Äî a condition, not a stop.</t>
  </si>
  <si>
    <t>Moderate. Reported 3‚Äì4% acceptance rate.</t>
  </si>
  <si>
    <t>Six-week hybrid programme, online plus London offices, roughly 8‚Äì10 hours weekly across 2‚Äì3 days. Right to work in the UK required.</t>
  </si>
  <si>
    <t>https://www.bethnalgreenventures.com/apply</t>
  </si>
  <si>
    <t>Start-Up Chile</t>
  </si>
  <si>
    <t>Chile</t>
  </si>
  <si>
    <t>"All grants are non-dilutive, and founders retain 100% ownership"</t>
  </si>
  <si>
    <t>Not stated as a bar; solo founders have historically been accepted</t>
  </si>
  <si>
    <t>Moderate - online application via startupchile.charly.io</t>
  </si>
  <si>
    <t>Founders relocate to Chile</t>
  </si>
  <si>
    <t>https://startupchile.org/en/apply/</t>
  </si>
  <si>
    <t>Conception X ‚Äî Venture Scientist 100</t>
  </si>
  <si>
    <t>UK ‚Äî national (cross-university)</t>
  </si>
  <si>
    <t>Not-for-profit; no equity taken for the programme itself.</t>
  </si>
  <si>
    <t>Flexible on team setup ‚Äî solo founder or team, pre-idea through early-stage.</t>
  </si>
  <si>
    <t>Unknown until the form opens.</t>
  </si>
  <si>
    <t>UK universities.</t>
  </si>
  <si>
    <t>Programme is "For technical PhDs ready to test the founder path" ‚Äî participants build a venture in parallel with an active PhD at a UK university. The founder is not enrolled in a PhD and cannot become one in time.</t>
  </si>
  <si>
    <t>https://www.conceptionx.org/venture-scientist-100</t>
  </si>
  <si>
    <t>Fit 4 Start (call #17 closed; #18 expected)</t>
  </si>
  <si>
    <t>Published rule: 'Team composed of at least 2 people'. Per the binding rules this is one condition and not a stop, but it is an explicit published minimum rather than a soft preference.</t>
  </si>
  <si>
    <t>Est. 10-15 hours.</t>
  </si>
  <si>
    <t>Luxembourg. Verticals for the last call were digital, health technologies, space, and a new defence vertical.</t>
  </si>
  <si>
    <t>https://luxinnovation.lu/assess-and-accelerate/fit4start</t>
  </si>
  <si>
    <t>Llama Impact Grants</t>
  </si>
  <si>
    <t>Global, with regional tracks</t>
  </si>
  <si>
    <t>Individuals may apply only as representatives of an organisation</t>
  </si>
  <si>
    <t>6-10 hours estimated when open</t>
  </si>
  <si>
    <t>Global, with regional track events</t>
  </si>
  <si>
    <t>Two conditions from the published grant terms, both currently unmet. 'Only individuals affiliated with a valid business, non-profit organization, academic institution, or research institute ... can participate', and 'Organization must be in operation for at least 12 months from the Proposal Submission Deadline'. A pre-incorporation founder cannot satisfy a rule requiring the entity to predate the deadline by a year.</t>
  </si>
  <si>
    <t>https://ai.meta.com/blog/llama-3-1-impact-grants-call-for-applications/</t>
  </si>
  <si>
    <t>AngelPad</t>
  </si>
  <si>
    <t>San Francisco and New York City, USA</t>
  </si>
  <si>
    <t>~7%</t>
  </si>
  <si>
    <t>Page states 'Anyone from anywhere can apply' and both individual founders and teams appear eligible</t>
  </si>
  <si>
    <t>not applicable while closed</t>
  </si>
  <si>
    <t>SF and NYC; 12-week programme</t>
  </si>
  <si>
    <t>none identified - closed, not blocked</t>
  </si>
  <si>
    <t>https://angelpad.com/</t>
  </si>
  <si>
    <t>The Residency (TOA) ‚Äî next cohort</t>
  </si>
  <si>
    <t>US ‚Äî Fort Point, Boston</t>
  </si>
  <si>
    <t>$200K for 5% equity from IBM Ventures</t>
  </si>
  <si>
    <t>'Ambitious technical founders' ‚Äî singular or plural, no team rule stated</t>
  </si>
  <si>
    <t>Founders on-site 4 days per week in Fort Point, Boston</t>
  </si>
  <si>
    <t>Published eligibility requires 'Based in Massachusetts (or intending to be)' AND 'LLC already in place'. The entity requirement is stated as an eligibility criterion, and each cohort is limited to 5-10 Massachusetts-based startups. This is the only genuine pre-incorporation wall found in this sweep.</t>
  </si>
  <si>
    <t>https://the-open-accelerator.com/residency/</t>
  </si>
  <si>
    <t>AI2050 Fellowships (Senior and Early Career)</t>
  </si>
  <si>
    <t>Not applicable - there is no application to complete</t>
  </si>
  <si>
    <t>Two walls, either one decisive. There is no open application at all, only closed nomination. And eligibility requires an academic research position: Early Career is for 'postdoctoral and pre-tenure researchers' and applicants must be 'affiliated with eligible academic or non-profit research institutions'.</t>
  </si>
  <si>
    <t>https://ai2050.schmidtsciences.org/fellows/</t>
  </si>
  <si>
    <t>OpenAI Grove</t>
  </si>
  <si>
    <t>"Applicants may apply individually or as part of a small group" - solo explicitly fine. "We recommend individuals from all backgrounds, disciplines, and experience levels apply."</t>
  </si>
  <si>
    <t>Not applicable this cycle. Historically concise: what you are building or exploring, background, stage and sector, prior work, and what you want from Grove.</t>
  </si>
  <si>
    <t>In person in San Francisco for the first and last weeks only; travel costs covered</t>
  </si>
  <si>
    <t>https://openai.com/index/openai-grove/</t>
  </si>
  <si>
    <t>Cosmos Grants</t>
  </si>
  <si>
    <t>"Who can apply? Anyone. We're looking for the best proposals and talent." - no credentials required</t>
  </si>
  <si>
    <t>https://www.cosmos-institute.org/grants</t>
  </si>
  <si>
    <t>UnternehmerTUM Accelerator (formerly XPRENEURS)</t>
  </si>
  <si>
    <t>Not stated for the Accelerator, in contrast to the sister Incubator which bars solo founders outright</t>
  </si>
  <si>
    <t>https://accelerator.unternehmertum.de/</t>
  </si>
  <si>
    <t>Creative Destruction Lab (CDL)</t>
  </si>
  <si>
    <t>17 sites across 10 countries: Toronto, Vancouver, Calgary, Montreal, Halifax, Paris, Madison, Seattle, Estonia, Berlin, Melbourne, Texas, Milan, London, San Sebastian, Doha, Cleveland</t>
  </si>
  <si>
    <t>Zero. "No fees. No equity taken." Mentors often invest separately in ventures that demonstrate a track record of achieving their objectives.</t>
  </si>
  <si>
    <t>No published team minimum. CDL's stated purpose is enhancing the performance of technical founders.</t>
  </si>
  <si>
    <t>~4-6 hours. Application portal, then interview if shortlisted, then a matching process across streams and sites.</t>
  </si>
  <si>
    <t>Site-dependent. Session days are the core offering and are full-day in-person events at the chosen site.</t>
  </si>
  <si>
    <t>https://creativedestructionlab.com/application-triage/</t>
  </si>
  <si>
    <t>Katapult Accelerator</t>
  </si>
  <si>
    <t>Not applicable ‚Äî no application exists.</t>
  </si>
  <si>
    <t>The accelerator no longer exists as an applicable programme. Katapult has restructured into funds, a platform, a foundation and an event.</t>
  </si>
  <si>
    <t>https://katapult.vc/</t>
  </si>
  <si>
    <t>MassChallenge</t>
  </si>
  <si>
    <t>Boston, Texas, Rhode Island and international, USA</t>
  </si>
  <si>
    <t>Historically zero equity - not restated on the current page</t>
  </si>
  <si>
    <t>Not applicable - no open programme</t>
  </si>
  <si>
    <t>https://masschallenge.org/programs/</t>
  </si>
  <si>
    <t>UnternehmerTUM Incubator (formerly XPLORE)</t>
  </si>
  <si>
    <t>Germany (Munich and Garching), hybrid</t>
  </si>
  <si>
    <t>PUBLISHED 2+ FOUNDER RULE. "UnternehmerTUM Incubator is built for early-stage tech founding teams. We accept teams of two or more founders. Team size: Minimum 2 founders." The homepage adds it is also "for individuals seeking a matching opportunity" - i.e. solo applicants are routed to co-founder matching rather than rejected outright.</t>
  </si>
  <si>
    <t>~3-4 hours. Structured evaluation of team quality, venture maturity, validation level and investor readiness. No track selection needed - they assign one.</t>
  </si>
  <si>
    <t>Munich and Garching, but genuinely hybrid: "Thanks to our hybrid format, the majority of the program can be attended from anywhere. However, there are certain on-site sessions where it is necessary that at least one participant from your team is present on-site."</t>
  </si>
  <si>
    <t>https://incubator.unternehmertum.de/program/</t>
  </si>
  <si>
    <t>Pioneer</t>
  </si>
  <si>
    <t>Historically 1-2%</t>
  </si>
  <si>
    <t>Historically the most solo-friendly programme in existence - the model was a global online tournament judged on weekly progress</t>
  </si>
  <si>
    <t>not applicable</t>
  </si>
  <si>
    <t>Programme is discontinued - the organisation stopped making new investments in 2024 and there is no application path.</t>
  </si>
  <si>
    <t>https://pioneer.app/</t>
  </si>
  <si>
    <t>AI NATION ACCELERATOR</t>
  </si>
  <si>
    <t>Germany (nationwide, hubs in Berlin and Munich)</t>
  </si>
  <si>
    <t>Not stated for the Accelerator, unlike the sister Grant which requires two co-founders</t>
  </si>
  <si>
    <t>Project proposal, application submission, expert jury review, then a possible pitch invitation</t>
  </si>
  <si>
    <t>Germany; Berlin or Munich hub, assigned by location preference</t>
  </si>
  <si>
    <t>Stated eligibility requires an incorporated German entity or one in the process of formation, and the team must be based in Germany.</t>
  </si>
  <si>
    <t>https://www.ai-nation.de/accelerator</t>
  </si>
  <si>
    <t>imec.istart Belgium ‚Äî Autumn 2026 call</t>
  </si>
  <si>
    <t>Belgium (Ghent, Antwerp, Hasselt, Li√®ge)</t>
  </si>
  <si>
    <t>Convertible loan.</t>
  </si>
  <si>
    <t>Stated criteria ask for 'a complementary team' ‚Äî a preference, not a published minimum.</t>
  </si>
  <si>
    <t>Application documents are downloadable in advance from the apply page ‚Äî worth pulling now to draft ahead of Sept 1. Est. 6-10 hours.</t>
  </si>
  <si>
    <t>International startups from the EU 'need to establish a branch office in Flanders or conclude a cooperation with a knowledge institute in Flanders'. Note this wording is EU-scoped; whether a non-EU founder qualifies is unresolved and is the key phase-2 question.</t>
  </si>
  <si>
    <t>none confirmed ‚Äî but the Flanders branch-office / knowledge-institute cooperation requirement for non-Belgian applicants needs resolving in phase 2</t>
  </si>
  <si>
    <t>https://platform.imecistart.com/istartnl/public/apply</t>
  </si>
  <si>
    <t>GitHub Accelerator</t>
  </si>
  <si>
    <t>GitHub Sponsors-supported regions</t>
  </si>
  <si>
    <t>Individual maintainers accepted; requirement is full-time (40h/week) availability during the programme</t>
  </si>
  <si>
    <t>Must be located in a GitHub Sponsors-supported region</t>
  </si>
  <si>
    <t>Eligibility requires being "a current contributor or maintainer of an open source project" with an open source license. Supaprod is a closed private beta, so this is a genuine eligibility wall unless a component is open-sourced first.</t>
  </si>
  <si>
    <t>https://accelerator.github.com/</t>
  </si>
  <si>
    <t>STATION F F/ai Program</t>
  </si>
  <si>
    <t>Reported as zero equity by a secondary source; not verified on the programme page itself</t>
  </si>
  <si>
    <t>Not stated; described as designed for teams with strong technical backgrounds</t>
  </si>
  <si>
    <t>Unknown, the full form is not reachable while closed</t>
  </si>
  <si>
    <t>https://stationf.fillout.com/t/nXZhsbTFYZeu</t>
  </si>
  <si>
    <t>OIST Innovation Accelerator</t>
  </si>
  <si>
    <t>Japan / Okinawa</t>
  </si>
  <si>
    <t>Not addressed as a founder count, but the team composition rule is decisive on its own - see hard_blocker.</t>
  </si>
  <si>
    <t>Heavy multi-stage: online application, then a 45-minute online interview for the top 16, then a week-long Okinawa bootcamp in November 2026 for the top 8, then final proposals with selection by end of January 2027.</t>
  </si>
  <si>
    <t>"Ability for at least one co-founder or C-suite to relocate to Okinawa for the full 10-month program." Open to global founders with startup visa support and relocation assistance for selected teams.</t>
  </si>
  <si>
    <t>THREE, all confirmed at source and any one of them fatal. (1) "Core Technology Readiness Level (TRL) between TRL-4 and TRL-6" plus "Innovation Readiness Level (IRL) between IRL-2 and IRL-3" - a software product built in ten weeks is not a TRL-4-to-6 laboratory technology. (2) "At least one researcher or scientist on the founding team" - a solo product manager and builder does not satisfy this. (3) "Clear IP ownership: core technology owned or exclusively licensed by the applying entity", which presumes an entity exists. This is a deeptech and IP-commercialisation programme for entrepreneurial scientists, not a software accelerator.</t>
  </si>
  <si>
    <t>https://www.oist.jp/innovation/program-accelerator-startup-support-innovation</t>
  </si>
  <si>
    <t>Backdrop Build</t>
  </si>
  <si>
    <t>Previously reported at 7%</t>
  </si>
  <si>
    <t>Programme appears defunct - the domain is listed for sale and serves no application path.</t>
  </si>
  <si>
    <t>https://backdrop.build/</t>
  </si>
  <si>
    <t>Roots of Progress Institute Fellowship (Blog-Building Intensive)</t>
  </si>
  <si>
    <t>Individual writing fellowship</t>
  </si>
  <si>
    <t>3-5 hours estimated, plus writing samples. 'To qualify for the fellowship, you must be a good writer'.</t>
  </si>
  <si>
    <t>Remote programme, with the conference in San Francisco</t>
  </si>
  <si>
    <t>https://rootsofprogress.org/fellowship</t>
  </si>
  <si>
    <t>Cooperative AI Foundation Multi-Agent Safety Fund</t>
  </si>
  <si>
    <t>Research-shaped; individual researchers eligible</t>
  </si>
  <si>
    <t>https://www.cooperativeai.com/</t>
  </si>
  <si>
    <t>nasscom DeepTech Club</t>
  </si>
  <si>
    <t>Not assessable - the form is closed.</t>
  </si>
  <si>
    <t>India. The programme describes itself as focused on "India based deep technology startups".</t>
  </si>
  <si>
    <t>https://nasscom.accubate.app/ext/form/2124/1/apply</t>
  </si>
  <si>
    <t>Request for Proposals: AI for Forecasting and Sound Reasoning</t>
  </si>
  <si>
    <t>Was open to individuals and independent researchers</t>
  </si>
  <si>
    <t>https://coefficientgiving.org/funds/forecasting/request-for-proposals-ai-for-forecasting-and-sound-reasoning/</t>
  </si>
  <si>
    <t>Mozilla Foundation Incubator (Democracy x AI cohort)</t>
  </si>
  <si>
    <t>Requires 'A committed team who can execute over 12 months' and states 'you should be able to hit the ground running without having to do any significant hiring'. Team-oriented, though no numeric rule is published.</t>
  </si>
  <si>
    <t>6-10 hours across a two-stage process: initial proposal, then a full proposal for shortlisted applicants</t>
  </si>
  <si>
    <t>https://www.mozillafoundation.org/en/what-we-do/grantmaking/incubator/</t>
  </si>
  <si>
    <t>XPRIZE Quantum Applications</t>
  </si>
  <si>
    <t>Teams and individuals both welcomed - "subject matter experts, startups, student teams, amateurs"</t>
  </si>
  <si>
    <t>Heavy - technical submission against published competition guidelines</t>
  </si>
  <si>
    <t>Domain mismatch - quantum computing applications. Supaprod is not a quantum product.</t>
  </si>
  <si>
    <t>https://www.xprize.org/competitions/qc-apps</t>
  </si>
  <si>
    <t>imec.istart Netherlands ‚Äî Autumn 2026 call</t>
  </si>
  <si>
    <t>'a complementary team' preferred.</t>
  </si>
  <si>
    <t>Est. 6-10 hours; templates downloadable now.</t>
  </si>
  <si>
    <t>Netherlands. The Flanders branch-office rule applies to the Belgian track; the NL equivalent is unpublished.</t>
  </si>
  <si>
    <t>Blackbird Giants</t>
  </si>
  <si>
    <t>Not a published bar. Aimed at early-stage founders at the ideation phase.</t>
  </si>
  <si>
    <t>Application plus an AMA info session. Recommended commitment is 3 hours per week.</t>
  </si>
  <si>
    <t>Two in-person cohorts (Sydney, Melbourne) meeting "each Tuesday near the CBD, 5pm - 8pm AEST", plus a virtual cohort. Attendance at the Tuesday sessions is mandatory. Travel funding is available for standout applicants outside Sydney and Melbourne.</t>
  </si>
  <si>
    <t>CONFIRMED AT SOURCE, which phase 1 asked for: the eligibility list on Blackbird's own page reads "At least one person in the founding team has a connection with Australia or New Zealand." With no ANZ connection this is a genuine eligibility wall, not a preference. Two other published criteria: "You have been working on the startup idea for less than two years" (Supaprod satisfies this) and an exclusion of agencies, services businesses, intrapreneurship projects, charities, social enterprises and lifestyle businesses (not applicable).</t>
  </si>
  <si>
    <t>https://www.blackbird.vc/giants</t>
  </si>
  <si>
    <t>The Alignment Project</t>
  </si>
  <si>
    <t>Non-dilutive government and philanthropic grant</t>
  </si>
  <si>
    <t>Open to 'researchers from across disciplines'</t>
  </si>
  <si>
    <t>'An international, cross-sector coalition'</t>
  </si>
  <si>
    <t>https://alignmentproject.aisi.gov.uk/</t>
  </si>
  <si>
    <t>Founder Institute Paris</t>
  </si>
  <si>
    <t>Entrance fee plus an equity warrant in the FI shared pool</t>
  </si>
  <si>
    <t>Explicitly built for solo founders and idea-stage individuals</t>
  </si>
  <si>
    <t>Virtual First - both online and in-person events, but all required sessions are online</t>
  </si>
  <si>
    <t>https://fi.co/apply/paris</t>
  </si>
  <si>
    <t>Incubateur HEC Paris at STATION F</t>
  </si>
  <si>
    <t>Must be available in Paris for the first four months for the on-site programme</t>
  </si>
  <si>
    <t>https://builders.hec.fr/incubateur</t>
  </si>
  <si>
    <t>Microsoft for Startups Pegasus Program</t>
  </si>
  <si>
    <t>Not applicable - no direct application exists</t>
  </si>
  <si>
    <t>Invite-only with a stated prerequisite: you must already be actively engaged in Microsoft for Startups and building with Microsoft technology. There is no open application form and no way to apply directly.</t>
  </si>
  <si>
    <t>https://www.microsoft.com/en-us/startups/pegasus</t>
  </si>
  <si>
    <t>AI NATION GRANT</t>
  </si>
  <si>
    <t>Fully equity-free. "AI NATION does not take equity and does not become a party to the startup cap table" - non-dilutive grants under EU de minimis rules.</t>
  </si>
  <si>
    <t>PUBLISHED 2+ FOUNDER RULE. "Eligible founder teams must have a validated problem, a solution requiring AI, and a team of at least two committed co-founders, one bringing the AI expertise to build the product."</t>
  </si>
  <si>
    <t>~4-6 hours. Requires a 60-second founder video filmed in ONE location with all co-founders present, a mandatory product/demo video, and structured answers on problem, market, competition, traction and funding.</t>
  </si>
  <si>
    <t>Berlin or Munich coworking. Remote participation possible but Pitch Day, Welcome Week, mandatory in-person workshops and Offboarding Week must all be attended in person.</t>
  </si>
  <si>
    <t>RESIDENCE AND VISA. "We are a German state-funded program supporting Germany's startup ecosystem, and we ask that the core team be based in Germany and hold an eligible visa." The founder is in Bangalore and does not hold a German residence permit. This is exactly the residence-permit wall the binding rules name as a valid stop.</t>
  </si>
  <si>
    <t>https://www.ai-nation.de/grant</t>
  </si>
  <si>
    <t>focal x The Lab Miami Founder Residency</t>
  </si>
  <si>
    <t>Miami, Florida, USA</t>
  </si>
  <si>
    <t>Explicitly low-dilution; no figure published</t>
  </si>
  <si>
    <t>INDIVIDUALS EXPLICITLY INCLUDED: "1% acceptance rate | limited to 10 technical AI builders / teams." Past residents named include solo founders and a high school dropout.</t>
  </si>
  <si>
    <t>"All founders move to Miami for the duration of the program (costs offset)." Minimum six days per week in office plus Sunday office hours - the most intense in-person commitment in this sweep.</t>
  </si>
  <si>
    <t>K-Startup Grand Challenge 2026</t>
  </si>
  <si>
    <t>South Korea</t>
  </si>
  <si>
    <t>Non-dilutive - a government programme that takes no equity.</t>
  </si>
  <si>
    <t>No team-size requirement on the main track; applications are submitted under the name of the representative (CEO).</t>
  </si>
  <si>
    <t>Web-based business plan with no separate document submission, in English, plus a 2-minute founder video and an optional pitch deck.</t>
  </si>
  <si>
    <t>Korea market entry, hybrid, with activities in Korea. A Startup Preparation Visa recommendation letter valid up to one year is provided to participants.</t>
  </si>
  <si>
    <t>For the only track still open, yes, and it is confirmed at source: the International Students Track requires "Pre-startup teams led by international students in Korea", "All team members must be current undergraduate or graduate students", "At least 50% of the team members must be international students", and at least one member who is a graduate student or an international student expected to graduate by 2027. The founder is not enrolled at a Korean university, so that track is a genuine eligibility wall. The MAIN track carries no such wall - it requires only that the CEO not be a Korean national, which the founder satisfies - but its window closed on 17 June 2026.</t>
  </si>
  <si>
    <t>https://ksgc.global/</t>
  </si>
  <si>
    <t>DeepTech Accelerator</t>
  </si>
  <si>
    <t>Grant-based.</t>
  </si>
  <si>
    <t>Not stated; a shareholders agreement is required, implying more than one holder.</t>
  </si>
  <si>
    <t>Est. 10-15 hours; requires TRL 2-3 evidence and defined IP ownership.</t>
  </si>
  <si>
    <t>Company 'registered in Estonia (no later than the start of the program)' AND a 'strong link to an Estonian university or research and development institution'. For international founders, 'connection to Estonia must be justified on a case-by-case basis'.</t>
  </si>
  <si>
    <t>The Estonian university/R&amp;D institution link is a research-affiliation wall that a solo commercial software founder cannot satisfy without a partnership.</t>
  </si>
  <si>
    <t>https://www.tehnopol.ee/en/accelerator/deeptech-accelerator/</t>
  </si>
  <si>
    <t>Unusual Ventures Academy</t>
  </si>
  <si>
    <t>Uncapped SAFE plus a 3% programme fee</t>
  </si>
  <si>
    <t>HARD REQUIREMENT AGAINST SOLO. Page states: 'Teams should be 2 ‚Äì 4 members with at least 1 technical co-founder.'</t>
  </si>
  <si>
    <t>One week in-person in Menlo Park, California</t>
  </si>
  <si>
    <t>Two independent walls. First, a published minimum team size: 'Teams should be 2 ‚Äì 4 members with at least 1 technical co-founder' - this is a stated eligibility rule, not a preference, so it clears the bar in rule 3 for a genuine stop. Second, 'companies must be U.S.-incorporated', which is an entity requirement at application time rather than on selection.</t>
  </si>
  <si>
    <t>https://www.unusual.vc/academy</t>
  </si>
  <si>
    <t>Request for Proposals on AI Governance</t>
  </si>
  <si>
    <t>Page states 'While we're open to funding independent researchers, we generally prefer applicants working with institutions such as think tanks or academic labs'</t>
  </si>
  <si>
    <t>https://coefficientgiving.org/funds/navigating-transformative-ai/request-for-proposals-ai-governance/</t>
  </si>
  <si>
    <t>Venture Incubation Programme 2026</t>
  </si>
  <si>
    <t>EU-wide, 32 countries (Benelux and Nordic hubs)</t>
  </si>
  <si>
    <t>Targets 'founders and startup teams'; supports progression 'towards company incorporation', so pre-incorporation is explicitly in scope.</t>
  </si>
  <si>
    <t>Est. 5-8 hours when open.</t>
  </si>
  <si>
    <t>32 European countries.</t>
  </si>
  <si>
    <t>https://28digital.eu/venture-incubation-program/</t>
  </si>
  <si>
    <t>Survival and Flourishing Fund - Rolling Application and Speculation Grants</t>
  </si>
  <si>
    <t>For-profits: US, UK, Canada, Australia only. Non-profits: worldwide except nations considered adversarial to the US.</t>
  </si>
  <si>
    <t>Individuals are not fundable directly - "SFF cannot recommend funding to individuals/independent researchers who do not have a fiscal sponsor"</t>
  </si>
  <si>
    <t>Substantial - S-process application, several hours</t>
  </si>
  <si>
    <t>For-profit applicants must be in the US, UK, Canada or Australia</t>
  </si>
  <si>
    <t>Two stacked walls, both quoted from the page: "Companies seeking grants using this form must already be incorporated" (entity must exist to submit), and for-profits are eligible "only in the US, UK, Canada, and Australia". A pre-incorporation founder in India cannot submit as a company today.</t>
  </si>
  <si>
    <t>https://survivalandflourishing.fund/rolling-application</t>
  </si>
  <si>
    <t>LocalHost Fellowship</t>
  </si>
  <si>
    <t>Bangalore (flagship lab), Tokyo, Paris</t>
  </si>
  <si>
    <t>No equity. Page states: 'No. LocalHostHQ doesn't take equity as a condition of joining.'</t>
  </si>
  <si>
    <t>Individual-based - the unit is a person, and no credentials are required</t>
  </si>
  <si>
    <t>Residential labs where participants live and work together; the flagship is in Bangalore, where the founder is already based</t>
  </si>
  <si>
    <t>Likely age-barred: 'LocalHostHQ is for people aged 18 to 30 working on new inventions, companies, and creative projects.' Given a career spanning ISRO, Infineon and a senior AI PM role at Intellect, the founder is almost certainly outside that band, which would be a published eligibility wall rather than a preference. Confirm before spending effort.</t>
  </si>
  <si>
    <t>https://www.localhosthq.com/</t>
  </si>
  <si>
    <t>F/ai Program</t>
  </si>
  <si>
    <t>Europe ‚Äî Paris (going international)</t>
  </si>
  <si>
    <t>Station F, Paris; the programme is adding an international dimension</t>
  </si>
  <si>
    <t>Barclays Eagle Labs ‚Äî Scaleup Programme (powered by Plexal)</t>
  </si>
  <si>
    <t>UK ‚Äî national, hybrid</t>
  </si>
  <si>
    <t>None ‚Äî equity-free.</t>
  </si>
  <si>
    <t>Not stated; the programme targets companies with 10+ employees, so a solo founder is out on headcount.</t>
  </si>
  <si>
    <t>N/A ‚Äî window shut.</t>
  </si>
  <si>
    <t>"Run a UK-based tech business." Four in-person workshop days.</t>
  </si>
  <si>
    <t>Published requirements: UK-based tech business, ¬£2M+ raised or generated, and at least 10 employees. Supaprod meets none of the three.</t>
  </si>
  <si>
    <t>https://labs.uk.barclays/what-we-offer/our-programmes/scaleup/</t>
  </si>
  <si>
    <t>Innovative Startups 2026 (Innovativa Startups)</t>
  </si>
  <si>
    <t>Sweden</t>
  </si>
  <si>
    <t>No team-size requirement.</t>
  </si>
  <si>
    <t>Est. 15-25 hours in the Vinnova eServices portal, in a two-step process.</t>
  </si>
  <si>
    <t>'Swedish limited liability companies that are no more than 10 years old, have a maximum of 10 employees' ‚Äî a Swedish AB is the applicant entity.</t>
  </si>
  <si>
    <t>A Swedish AB must be the applicant. The applicant is the company, not the founder, so no entity means no submission.</t>
  </si>
  <si>
    <t>https://etjanster.vinnova.se/</t>
  </si>
  <si>
    <t>Rise programme</t>
  </si>
  <si>
    <t>None published.</t>
  </si>
  <si>
    <t>Waiting-list form only, ~15 minutes.</t>
  </si>
  <si>
    <t>Netherlands; targets Dutch scaleups.</t>
  </si>
  <si>
    <t>https://form.typeform.com/to/ONCKh0mt</t>
  </si>
  <si>
    <t>aws First Incubator</t>
  </si>
  <si>
    <t>Austria</t>
  </si>
  <si>
    <t>Non-repayable grant, no equity</t>
  </si>
  <si>
    <t>Open to individuals - the stated target group is natural persons, sole proprietorships, partnerships and legal entities (micro and small enterprises)</t>
  </si>
  <si>
    <t>Online via the aws Funding Manager, and it requires an application video plus personal data, a project description, a declaration of consent to attend the aws First Start-up Camp, and proof of identity</t>
  </si>
  <si>
    <t>Applicants must hold a valid Austrian residency permit. The founder does not hold one.</t>
  </si>
  <si>
    <t>https://www.aws.at/en/aws-first-incubator/</t>
  </si>
  <si>
    <t>Tempo funding</t>
  </si>
  <si>
    <t>Requires 'a committed team of at least 2 people working in Finland. Individuals must already be working for the company when applying for funding.'</t>
  </si>
  <si>
    <t>Est. 15-25 hours.</t>
  </si>
  <si>
    <t>Finland. Applicant must be a Finnish limited liability company in operation for less than five years.</t>
  </si>
  <si>
    <t>Closed since October 2025 with no reopening date published, plus a Finnish limited company and a 2-person Finland-based team requirement.</t>
  </si>
  <si>
    <t>https://www.businessfinland.fi/en/services/funding/funding-e-service/</t>
  </si>
  <si>
    <t>Overkill Ventures accelerator</t>
  </si>
  <si>
    <t>Latvia (Riga) / Baltics</t>
  </si>
  <si>
    <t>Historically pre-seed B2B in CEE and the Nordics.</t>
  </si>
  <si>
    <t>The fund has stopped making new investments.</t>
  </si>
  <si>
    <t>https://www.overkill.vc/</t>
  </si>
  <si>
    <t>Interact Fellowship</t>
  </si>
  <si>
    <t>Global (US retreats)</t>
  </si>
  <si>
    <t>Retreat attendance, fully sponsored.</t>
  </si>
  <si>
    <t>Age. 'The only requirement is that Fellowship applicants are between the ages of 18 and 23 at the time of application, with rare exceptions for 24-year-olds.' This founder's career arc (ISRO, then Infineon, then Intellect) places him well outside that band. A published eligibility wall, not a preference.</t>
  </si>
  <si>
    <t>https://joininteract.com/</t>
  </si>
  <si>
    <t>Mercury Raise</t>
  </si>
  <si>
    <t>US, Canada, UK</t>
  </si>
  <si>
    <t>Was free, no equity.</t>
  </si>
  <si>
    <t>Was not gated</t>
  </si>
  <si>
    <t>Historically limited to US, Canada and UK incorporated companies via the Mercury account requirement</t>
  </si>
  <si>
    <t>Programme discontinued. Separately, when it ran it was gated behind a Mercury account, which requires a US, Canada or UK entity - a documented community complaint was that it did not accept founders in other regions or pre-incorporation.</t>
  </si>
  <si>
    <t>https://mercury.com/raise</t>
  </si>
  <si>
    <t>Basis Set AI Fellowship</t>
  </si>
  <si>
    <t>Employment-style compensation; the Fellows Fund is separate pre-seed funding for fellows who go on to found.</t>
  </si>
  <si>
    <t>Not applicable - this is an early-career operator programme, not a founder programme.</t>
  </si>
  <si>
    <t>Moot - closed and ineligible.</t>
  </si>
  <si>
    <t>San Francisco, in person, with select exceptions where company matches are elsewhere.</t>
  </si>
  <si>
    <t>CAREER STAGE. "We welcome applications from candidates who are in their final year of undergraduate or graduate study, or who expect to graduate soon." The founder is a decade past this. The programme targets "early-career builders ready to become stronger operators", which is the opposite of his profile.</t>
  </si>
  <si>
    <t>https://www.basisset.com/basis-set-ai-fellowship</t>
  </si>
  <si>
    <t>EuroHPC JU Call for Proposals for AI and Data-Intensive Applications</t>
  </si>
  <si>
    <t>Several hours - technical proposal</t>
  </si>
  <si>
    <t>EU Member State or Associated Country</t>
  </si>
  <si>
    <t>The call itself is closed - there is nothing to submit to.</t>
  </si>
  <si>
    <t>https://eurohpc-ju.europa.eu/eurohpc-ju-call-proposals-ai-and-data-intensive-applications_en</t>
  </si>
  <si>
    <t>Twilio Startups / Twilio Segment Startup Program</t>
  </si>
  <si>
    <t>Not applicable - there is no programme to apply to</t>
  </si>
  <si>
    <t>Twilio states on its own page that it does not offer additional startup credits at this time.</t>
  </si>
  <si>
    <t>https://www.twilio.com/en-us/solutions/startups</t>
  </si>
  <si>
    <t>EIC Advanced Innovation Challenges ‚Äî Pilot (Stage 1)</t>
  </si>
  <si>
    <t>100% non-dilutive lump sum.</t>
  </si>
  <si>
    <t>Stage 1 explicitly accepts "a single legal entity established in a Member State or an Associated Country", including start-ups and SMEs; large companies excluded. No team-size rule.</t>
  </si>
  <si>
    <t>Moderate for an EU instrument ‚Äî a lump-sum Stage 1 concept, much lighter than a full Horizon proposal.</t>
  </si>
  <si>
    <t>Single legal entity established in an EU Member State or Associated Country.</t>
  </si>
  <si>
    <t>For this cycle, the Stage 1 intake is over and Stage 2 is winners-only. Structurally an EU/AC legal entity is required to submit.</t>
  </si>
  <si>
    <t>https://eic.ec.europa.eu/eic-funding-opportunities/advanced-innovation-challenges-pilot_en</t>
  </si>
  <si>
    <t>Frontier AI Grand Challenge</t>
  </si>
  <si>
    <t>Non-dilutive compute allocation.</t>
  </si>
  <si>
    <t>Irrelevant at this scale.</t>
  </si>
  <si>
    <t>Established in the EU and under EU control.</t>
  </si>
  <si>
    <t>"Eligible participants shall consist of one or more industrial players that are both established in the EU and under EU control", and "All participants must show a history of developing and deploying large-scale AI models (100Bn+ parameters)". Proposals must target models of "at least 400 billion parameters". Comprehensively out of reach.</t>
  </si>
  <si>
    <t>https://aiboost-project.eu/frontier-ai-grand-challenge/</t>
  </si>
  <si>
    <t>28DIGITAL Venture Incubation Program 2026 (formerly EIT Digital Venture Program)</t>
  </si>
  <si>
    <t>EU Member States + Montenegro, North Macedonia, Serbia, T√ºrkiye, Ukraine</t>
  </si>
  <si>
    <t>NOT NON-DILUTIVE. The page states: "Important: Selected ventures will commit to providing 28DIGITAL with 5% equity through a SAFE (Simple Agreement for Future Equity)." 5% for EUR 5k-30k is a punishing ratio and disqualifies this on terms alone.</t>
  </si>
  <si>
    <t>The unincorporated-team route requires a minimum of two members: "open to multidisciplinary teams (minimum two members) and early-stage startups incorporated in 2025 or later". Published, but a soft wall in principle since a co-founder could be added.</t>
  </si>
  <si>
    <t>Reside in or be established in an EU Member State or one of Montenegro, North Macedonia, Serbia, T√ºrkiye, Ukraine. Startups must not have been legally established before 1 January 2025.</t>
  </si>
  <si>
    <t>Location. Applicants must "reside in or are established in one of the following eligible locations" (EU Member States plus Montenegro, North Macedonia, Serbia, T√ºrkiye, Ukraine). Residence in Bangalore fails the test.</t>
  </si>
  <si>
    <t>Start?Zuschuss!</t>
  </si>
  <si>
    <t>Germany (Bavaria)</t>
  </si>
  <si>
    <t>Non-dilutive grant under the De-minimis Regulation</t>
  </si>
  <si>
    <t>Online application form, available in German only</t>
  </si>
  <si>
    <t>The business must be registered in Bavaria</t>
  </si>
  <si>
    <t>Requires a Bavarian-registered business founded no more than two years ago, and the application form is German-only.</t>
  </si>
  <si>
    <t>https://www.gruenderland.bayern/en/support-for-your-idea/translate-to-english-startzuschuss/</t>
  </si>
  <si>
    <t>Road 2 Web Summit</t>
  </si>
  <si>
    <t>Scoped to Portugal's most promising early-stage startups and gated behind Portuguese Startup Recognition status, which requires a Portuguese entity.</t>
  </si>
  <si>
    <t>https://startupportugal.com/programs/road-2-web-summit/</t>
  </si>
  <si>
    <t>Status</t>
  </si>
  <si>
    <t>Date applied</t>
  </si>
  <si>
    <t>Notes</t>
  </si>
  <si>
    <t>Not started</t>
  </si>
  <si>
    <t>Cash (USD)</t>
  </si>
  <si>
    <t>Funding Programme Tracker — Insights &amp; Recommendations</t>
  </si>
  <si>
    <t>PIPELINE BY TIER</t>
  </si>
  <si>
    <t>BY CALL TYPE</t>
  </si>
  <si>
    <t>DEADLINE URGENCY</t>
  </si>
  <si>
    <t>APPLICATION STATUS</t>
  </si>
  <si>
    <t>FUNDING AVAILABLE</t>
  </si>
  <si>
    <t>BY CATEGORY</t>
  </si>
  <si>
    <t>Total</t>
  </si>
  <si>
    <t>Closing in 7 days or less</t>
  </si>
  <si>
    <t>Closing in 8-21 days</t>
  </si>
  <si>
    <t>Closing in 22-45 days</t>
  </si>
  <si>
    <t>Dated, more than 45 days</t>
  </si>
  <si>
    <t>No deadline recorded</t>
  </si>
  <si>
    <t>Drafting</t>
  </si>
  <si>
    <t>Submitted</t>
  </si>
  <si>
    <t>Interview</t>
  </si>
  <si>
    <t>Accepted</t>
  </si>
  <si>
    <t>Rejected</t>
  </si>
  <si>
    <t>Skip</t>
  </si>
  <si>
    <t>Median cheque (apply-now)</t>
  </si>
  <si>
    <t>Largest cheque (apply-now)</t>
  </si>
  <si>
    <t>PRIORITY SHORTLIST — Tier 1 &amp; 2, call = apply-now, ranked by Score</t>
  </si>
  <si>
    <t>ACT THIS WEEK — apply-now with 21 days or fewer left, soonest first</t>
  </si>
  <si>
    <t>BLOCKED BUT HIGH-SCORING — resolve the blocker and these become live</t>
  </si>
  <si>
    <t>Total, all programmes</t>
  </si>
  <si>
    <t>Actionable (Tier 1-2, apply-now)</t>
  </si>
  <si>
    <t>Closing within 45d (apply-now)</t>
  </si>
  <si>
    <t xml:space="preserve">Submitted</t>
  </si>
  <si>
    <t xml:space="preserve">2026-08-16</t>
  </si>
  <si>
    <t xml:space="preserve">SUBMITTED 2026-08-16. Record: docs/pitch/applications/campus-founders/FILL-SHEET-38-FIELDS.md. 38 fields plus 2 conditional. Assets sent: Supaprod-Brief.pdf, founder video youtu.be/zBmtUtkTyBs, Supaprod-Product-Film.mp4. Login lantern@supaprod.ai, verified working 2026-08-16 11:25 IST. Pitch presentations 24-26 Aug, acceptances 28 Aug, move-in 30 Sep.</t>
  </si>
  <si>
    <t xml:space="preserve">skip</t>
  </si>
  <si>
    <t xml:space="preserve">Skip</t>
  </si>
  <si>
    <t xml:space="preserve">SKIPPED by founder decision 2026-08-16. $100K for 8% is a $1.25M post, the worst price of any equity programme tracked; a16z Speedrun gives 5x the money for 2 more points. 10 weeks in person in Taipei collides with the Heilbronn onsite commitment filed the same day. Better India-accessible options already tracked: Peak XV Surge, Accel Atoms X, Emergent Ventures India. Was blocked on an intro video. Rolling, next batch Fall 2026, so re-openable.</t>
  </si>
  <si>
    <t xml:space="preserve">skip</t>
  </si>
  <si>
    <t xml:space="preserve">CLOSED</t>
  </si>
  <si>
    <t xml:space="preserve">NOT OPEN, verified 2026-08-16 20:30 IST. sequoiacap.com/arc/apply renders a blank page: nav, empty body, footer, no form, no closure notice, HTTP 200 so emptied not removed. The 2026-08-17 deadline this board carried was never verified against Sequoia's own page. Unresolved: outside sources say the open call is Americas and Europe only; Sequoia's own FAQ states no geography restriction.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</si>
</sst>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numFmt numFmtId="165" formatCode="0.0%"/>
    <numFmt numFmtId="166" formatCode="[&gt;=1000000]&quot;$&quot;#,##0.0,,&quot;M&quot;;[&gt;0]&quot;$&quot;#,##0,&quot;k&quot;;&quot;–&quot;"/>
    <numFmt numFmtId="167" formatCode="&quot;$&quot;#,##0"/>
  </numFmts>
  <fonts count="27"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rgb="FFFFFFFF"/>
      <name val="Aptos Narrow"/>
      <family val="2"/>
      <scheme val="minor"/>
    </font>
    <font>
      <sz val="11"/>
      <color theme="1"/>
      <name val="Aptos Narrow"/>
      <family val="2"/>
      <scheme val="minor"/>
    </font>
    <font>
      <b/>
      <sz val="18"/>
      <color rgb="FF1F4E79"/>
      <name val="Aptos Narrow"/>
      <family val="2"/>
      <scheme val="minor"/>
    </font>
    <font>
      <i/>
      <sz val="12"/>
      <color rgb="FF808080"/>
      <name val="Aptos Narrow"/>
      <family val="2"/>
      <scheme val="minor"/>
    </font>
    <font>
      <b/>
      <sz val="10"/>
      <color rgb="FFFFFFFF"/>
      <name val="Aptos Narrow"/>
      <family val="2"/>
      <scheme val="minor"/>
    </font>
    <font>
      <b/>
      <sz val="13"/>
      <color rgb="FF1F4E79"/>
      <name val="Aptos Narrow"/>
      <family val="2"/>
      <scheme val="minor"/>
    </font>
    <font>
      <sz val="10"/>
      <color rgb="FF000000"/>
      <name val="Tahoma"/>
      <family val="2"/>
    </font>
    <font>
      <b/>
      <sz val="10"/>
      <color rgb="FF000000"/>
      <name val="Tahoma"/>
      <family val="2"/>
    </font>
    <font>
      <u/>
      <sz val="12"/>
      <color theme="1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9"/>
        <bgColor indexed="64"/>
      </patternFill>
    </fill>
    <fill>
      <patternFill patternType="solid">
        <fgColor rgb="FFF7F9FC"/>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1F4E79"/>
      </bottom>
      <diagonal/>
    </border>
    <border>
      <left style="thin">
        <color rgb="FFD9D9D9"/>
      </left>
      <right style="thin">
        <color rgb="FFD9D9D9"/>
      </right>
      <top style="thin">
        <color rgb="FFD9D9D9"/>
      </top>
      <bottom style="thin">
        <color rgb="FF1F4E79"/>
      </bottom>
      <diagonal/>
    </border>
    <border>
      <left style="thin">
        <color rgb="FFD9D9D9"/>
      </left>
      <right/>
      <top style="thin">
        <color rgb="FFD9D9D9"/>
      </top>
      <bottom style="thin">
        <color rgb="FF1F4E79"/>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6" fillId="0" borderId="0" applyNumberFormat="0" applyFill="0" applyBorder="0" applyAlignment="0" applyProtection="0"/>
  </cellStyleXfs>
  <cellXfs count="64">
    <xf numFmtId="0" fontId="0" fillId="0" borderId="0" xfId="0"/>
    <xf numFmtId="14" fontId="0" fillId="0" borderId="0" xfId="0" applyNumberFormat="1"/>
    <xf numFmtId="164" fontId="0" fillId="0" borderId="0" xfId="0" applyNumberFormat="1"/>
    <xf numFmtId="0" fontId="18" fillId="33" borderId="0" xfId="0" applyFont="1" applyFill="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9" fontId="0" fillId="0" borderId="0" xfId="0" applyNumberFormat="1" applyAlignment="1">
      <alignment vertical="center"/>
    </xf>
    <xf numFmtId="2" fontId="0" fillId="0" borderId="0" xfId="0" applyNumberFormat="1"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0" fontId="19" fillId="0" borderId="0" xfId="0" applyFont="1" applyAlignment="1">
      <alignment horizontal="center" vertical="center" wrapText="1"/>
    </xf>
    <xf numFmtId="0" fontId="18" fillId="33" borderId="0" xfId="0" applyFont="1" applyFill="1" applyAlignment="1">
      <alignment horizontal="center" wrapText="1"/>
    </xf>
    <xf numFmtId="2" fontId="0" fillId="0" borderId="0" xfId="0" applyNumberFormat="1"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0" fontId="20" fillId="0" borderId="0" xfId="0" applyFont="1"/>
    <xf numFmtId="0" fontId="21" fillId="0" borderId="0" xfId="0" applyFont="1"/>
    <xf numFmtId="0" fontId="22" fillId="33" borderId="0" xfId="0" applyFont="1" applyFill="1"/>
    <xf numFmtId="0" fontId="23" fillId="0" borderId="0" xfId="0" applyFont="1"/>
    <xf numFmtId="0" fontId="18" fillId="33" borderId="0" xfId="0" applyFont="1" applyFill="1" applyAlignment="1">
      <alignment horizontal="left"/>
    </xf>
    <xf numFmtId="0" fontId="0" fillId="0" borderId="10" xfId="0" applyBorder="1" applyAlignment="1">
      <alignment vertical="center"/>
    </xf>
    <xf numFmtId="0" fontId="0" fillId="0" borderId="11" xfId="0" applyBorder="1" applyAlignment="1">
      <alignment horizontal="center" vertical="center"/>
    </xf>
    <xf numFmtId="2" fontId="0" fillId="0" borderId="11" xfId="0" applyNumberFormat="1" applyBorder="1" applyAlignment="1">
      <alignment horizontal="center" vertical="center"/>
    </xf>
    <xf numFmtId="1" fontId="0" fillId="0" borderId="11" xfId="0" applyNumberFormat="1" applyBorder="1" applyAlignment="1">
      <alignment horizontal="center" vertical="center"/>
    </xf>
    <xf numFmtId="0" fontId="0" fillId="0" borderId="12" xfId="0" applyBorder="1" applyAlignment="1">
      <alignment vertical="center"/>
    </xf>
    <xf numFmtId="0" fontId="0" fillId="0" borderId="13" xfId="0" applyBorder="1" applyAlignment="1">
      <alignment vertical="center"/>
    </xf>
    <xf numFmtId="0" fontId="0" fillId="0" borderId="14" xfId="0" applyBorder="1" applyAlignment="1">
      <alignment horizontal="center" vertical="center"/>
    </xf>
    <xf numFmtId="2" fontId="0" fillId="0" borderId="14" xfId="0" applyNumberFormat="1" applyBorder="1" applyAlignment="1">
      <alignment horizontal="center" vertical="center"/>
    </xf>
    <xf numFmtId="1" fontId="0" fillId="0" borderId="14" xfId="0" applyNumberFormat="1" applyBorder="1" applyAlignment="1">
      <alignment horizontal="center" vertical="center"/>
    </xf>
    <xf numFmtId="0" fontId="0" fillId="0" borderId="15" xfId="0" applyBorder="1" applyAlignment="1">
      <alignment vertical="center"/>
    </xf>
    <xf numFmtId="0" fontId="0" fillId="0" borderId="16" xfId="0" applyBorder="1" applyAlignment="1">
      <alignment vertical="center"/>
    </xf>
    <xf numFmtId="0" fontId="0" fillId="0" borderId="17" xfId="0" applyBorder="1" applyAlignment="1">
      <alignment horizontal="center" vertical="center"/>
    </xf>
    <xf numFmtId="2" fontId="0" fillId="0" borderId="17" xfId="0" applyNumberFormat="1" applyBorder="1" applyAlignment="1">
      <alignment horizontal="center" vertical="center"/>
    </xf>
    <xf numFmtId="1" fontId="0" fillId="0" borderId="17" xfId="0" applyNumberFormat="1" applyBorder="1" applyAlignment="1">
      <alignment horizontal="center" vertical="center"/>
    </xf>
    <xf numFmtId="0" fontId="0" fillId="0" borderId="18" xfId="0" applyBorder="1" applyAlignment="1">
      <alignment vertical="center"/>
    </xf>
    <xf numFmtId="0" fontId="0" fillId="0" borderId="10" xfId="0" applyBorder="1"/>
    <xf numFmtId="2" fontId="0" fillId="0" borderId="11" xfId="0" applyNumberFormat="1" applyBorder="1" applyAlignment="1">
      <alignment horizontal="center"/>
    </xf>
    <xf numFmtId="0" fontId="0" fillId="0" borderId="11" xfId="0" applyBorder="1"/>
    <xf numFmtId="0" fontId="0" fillId="0" borderId="12" xfId="0" applyBorder="1"/>
    <xf numFmtId="0" fontId="0" fillId="0" borderId="13" xfId="0" applyBorder="1"/>
    <xf numFmtId="2" fontId="0" fillId="0" borderId="14" xfId="0" applyNumberFormat="1" applyBorder="1" applyAlignment="1">
      <alignment horizontal="center"/>
    </xf>
    <xf numFmtId="0" fontId="0" fillId="0" borderId="14" xfId="0" applyBorder="1"/>
    <xf numFmtId="0" fontId="0" fillId="0" borderId="15" xfId="0" applyBorder="1"/>
    <xf numFmtId="0" fontId="0" fillId="0" borderId="16" xfId="0" applyBorder="1"/>
    <xf numFmtId="2" fontId="0" fillId="0" borderId="17" xfId="0" applyNumberFormat="1" applyBorder="1" applyAlignment="1">
      <alignment horizontal="center"/>
    </xf>
    <xf numFmtId="0" fontId="0" fillId="0" borderId="17" xfId="0" applyBorder="1"/>
    <xf numFmtId="0" fontId="0" fillId="0" borderId="18" xfId="0" applyBorder="1"/>
    <xf numFmtId="0" fontId="0" fillId="34" borderId="0" xfId="0" applyFill="1"/>
    <xf numFmtId="0" fontId="0" fillId="34" borderId="0" xfId="0" applyFill="1" applyAlignment="1">
      <alignment horizontal="center"/>
    </xf>
    <xf numFmtId="165" fontId="0" fillId="34" borderId="0" xfId="0" applyNumberFormat="1" applyFill="1"/>
    <xf numFmtId="0" fontId="16" fillId="34" borderId="0" xfId="0" applyFont="1" applyFill="1"/>
    <xf numFmtId="0" fontId="16" fillId="34" borderId="0" xfId="0" applyFont="1" applyFill="1" applyAlignment="1">
      <alignment horizontal="center"/>
    </xf>
    <xf numFmtId="0" fontId="0" fillId="34" borderId="0" xfId="0" applyFill="1" applyAlignment="1">
      <alignment wrapText="1"/>
    </xf>
    <xf numFmtId="166" fontId="0" fillId="0" borderId="0" xfId="0" applyNumberFormat="1" applyAlignment="1">
      <alignment horizontal="center" vertical="center"/>
    </xf>
    <xf numFmtId="166" fontId="0" fillId="0" borderId="0" xfId="0" applyNumberFormat="1" applyAlignment="1">
      <alignment horizontal="center"/>
    </xf>
    <xf numFmtId="166" fontId="0" fillId="0" borderId="0" xfId="0" applyNumberFormat="1"/>
    <xf numFmtId="166" fontId="0" fillId="34" borderId="0" xfId="0" applyNumberFormat="1" applyFill="1"/>
    <xf numFmtId="166" fontId="0" fillId="0" borderId="11" xfId="0" applyNumberFormat="1" applyBorder="1" applyAlignment="1">
      <alignment horizontal="center" vertical="center"/>
    </xf>
    <xf numFmtId="166" fontId="0" fillId="0" borderId="14" xfId="0" applyNumberFormat="1" applyBorder="1" applyAlignment="1">
      <alignment horizontal="center" vertical="center"/>
    </xf>
    <xf numFmtId="166" fontId="0" fillId="0" borderId="17" xfId="0" applyNumberFormat="1" applyBorder="1" applyAlignment="1">
      <alignment horizontal="center" vertical="center"/>
    </xf>
    <xf numFmtId="167" fontId="0" fillId="0" borderId="0" xfId="0" applyNumberFormat="1" applyAlignment="1">
      <alignment horizontal="center" vertical="center"/>
    </xf>
    <xf numFmtId="167" fontId="0" fillId="0" borderId="0" xfId="0" applyNumberFormat="1"/>
    <xf numFmtId="0" fontId="26" fillId="0" borderId="0" xfId="42"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font>
        <color rgb="FFA6A6A6"/>
      </font>
      <fill>
        <patternFill patternType="solid">
          <fgColor indexed="64"/>
          <bgColor rgb="FFE7E6E6"/>
        </patternFill>
      </fill>
    </dxf>
    <dxf>
      <font>
        <color rgb="FF9C0006"/>
      </font>
      <fill>
        <patternFill patternType="solid">
          <fgColor indexed="64"/>
          <bgColor rgb="FFFFC7CE"/>
        </patternFill>
      </fill>
    </dxf>
    <dxf>
      <font>
        <b/>
        <i val="0"/>
        <color rgb="FF006100"/>
      </font>
      <fill>
        <patternFill patternType="solid">
          <fgColor indexed="64"/>
          <bgColor rgb="FFC6EFCE"/>
        </patternFill>
      </fill>
    </dxf>
    <dxf>
      <font>
        <b/>
        <i val="0"/>
        <color rgb="FF5F497A"/>
      </font>
      <fill>
        <patternFill patternType="solid">
          <fgColor indexed="64"/>
          <bgColor rgb="FFE4DFEC"/>
        </patternFill>
      </fill>
    </dxf>
    <dxf>
      <font>
        <b/>
        <i val="0"/>
        <color rgb="FF1F4E79"/>
      </font>
      <fill>
        <patternFill patternType="solid">
          <fgColor indexed="64"/>
          <bgColor rgb="FFDDEBF7"/>
        </patternFill>
      </fill>
    </dxf>
    <dxf>
      <font>
        <color rgb="FF7F6000"/>
      </font>
      <fill>
        <patternFill patternType="solid">
          <fgColor indexed="64"/>
          <bgColor rgb="FFFFF2CC"/>
        </patternFill>
      </fill>
    </dxf>
    <dxf>
      <font>
        <color rgb="FF7F7F7F"/>
      </font>
      <fill>
        <patternFill patternType="solid">
          <fgColor indexed="64"/>
          <bgColor rgb="FFF2F2F2"/>
        </patternFill>
      </fill>
    </dxf>
    <dxf>
      <font>
        <color rgb="FF9C4500"/>
      </font>
      <fill>
        <patternFill patternType="solid">
          <fgColor indexed="64"/>
          <bgColor rgb="FFFFD9A0"/>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color rgb="FF767171"/>
      </font>
      <fill>
        <patternFill patternType="solid">
          <fgColor indexed="64"/>
          <bgColor rgb="FFE7E6E6"/>
        </patternFill>
      </fill>
    </dxf>
    <dxf>
      <font>
        <b/>
        <i val="0"/>
        <color rgb="FF9C6500"/>
      </font>
      <fill>
        <patternFill patternType="solid">
          <fgColor indexed="64"/>
          <bgColor rgb="FFFFEB9C"/>
        </patternFill>
      </fill>
    </dxf>
    <dxf>
      <font>
        <b/>
        <i val="0"/>
        <color rgb="FF1F4E79"/>
      </font>
      <fill>
        <patternFill patternType="solid">
          <fgColor indexed="64"/>
          <bgColor rgb="FFDDEBF7"/>
        </patternFill>
      </fill>
    </dxf>
    <dxf>
      <font>
        <b/>
        <i val="0"/>
        <color rgb="FF006100"/>
      </font>
      <fill>
        <patternFill patternType="solid">
          <fgColor indexed="64"/>
          <bgColor rgb="FFC6EFCE"/>
        </patternFill>
      </fill>
    </dxf>
    <dxf>
      <font>
        <color rgb="FF9C9C9C"/>
      </font>
      <fill>
        <patternFill patternType="solid">
          <fgColor indexed="64"/>
          <bgColor rgb="FFEFEFEF"/>
        </patternFill>
      </fill>
    </dxf>
    <dxf>
      <font>
        <color rgb="FF9C4500"/>
      </font>
      <fill>
        <patternFill patternType="solid">
          <fgColor indexed="64"/>
          <bgColor rgb="FFFFD9A0"/>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color rgb="FF767171"/>
      </font>
      <fill>
        <patternFill patternType="solid">
          <fgColor indexed="64"/>
          <bgColor rgb="FFE7E6E6"/>
        </patternFill>
      </fill>
    </dxf>
    <dxf>
      <font>
        <b/>
        <i val="0"/>
        <color rgb="FF9C6500"/>
      </font>
      <fill>
        <patternFill patternType="solid">
          <fgColor indexed="64"/>
          <bgColor rgb="FFFFEB9C"/>
        </patternFill>
      </fill>
    </dxf>
    <dxf>
      <font>
        <b/>
        <i val="0"/>
        <color rgb="FF1F4E79"/>
      </font>
      <fill>
        <patternFill patternType="solid">
          <fgColor indexed="64"/>
          <bgColor rgb="FFDDEBF7"/>
        </patternFill>
      </fill>
    </dxf>
    <dxf>
      <font>
        <b/>
        <i val="0"/>
        <color rgb="FF006100"/>
      </font>
      <fill>
        <patternFill patternType="solid">
          <fgColor indexed="64"/>
          <bgColor rgb="FFC6EFCE"/>
        </patternFill>
      </fill>
    </dxf>
    <dxf>
      <font>
        <color rgb="FF9C4500"/>
      </font>
      <fill>
        <patternFill patternType="solid">
          <fgColor indexed="64"/>
          <bgColor rgb="FFFFD9A0"/>
        </patternFill>
      </fill>
    </dxf>
    <dxf>
      <font>
        <b/>
        <i val="0"/>
        <color rgb="FF9C0006"/>
      </font>
      <fill>
        <patternFill patternType="solid">
          <fgColor indexed="64"/>
          <bgColor rgb="FFFFC7CE"/>
        </patternFill>
      </fill>
    </dxf>
    <dxf>
      <font>
        <color rgb="FF9C4500"/>
      </font>
      <fill>
        <patternFill patternType="solid">
          <fgColor indexed="64"/>
          <bgColor rgb="FFFFD9A0"/>
        </patternFill>
      </fill>
    </dxf>
    <dxf>
      <font>
        <b/>
        <i val="0"/>
        <color rgb="FF9C0006"/>
      </font>
      <fill>
        <patternFill patternType="solid">
          <fgColor indexed="64"/>
          <bgColor rgb="FFFFC7CE"/>
        </patternFill>
      </fill>
    </dxf>
    <dxf>
      <font>
        <b/>
        <i val="0"/>
        <color rgb="FF1F4E79"/>
      </font>
      <fill>
        <patternFill patternType="solid">
          <fgColor indexed="64"/>
          <bgColor rgb="FFDDEBF7"/>
        </patternFill>
      </fill>
    </dxf>
    <dxf>
      <font>
        <b/>
        <i val="0"/>
        <color rgb="FF006100"/>
      </font>
      <fill>
        <patternFill patternType="solid">
          <fgColor indexed="64"/>
          <bgColor rgb="FFC6EFCE"/>
        </patternFill>
      </fill>
    </dxf>
    <dxf>
      <font>
        <b/>
        <i val="0"/>
        <color rgb="FF1F4E79"/>
      </font>
      <fill>
        <patternFill patternType="solid">
          <fgColor indexed="64"/>
          <bgColor rgb="FFDDEBF7"/>
        </patternFill>
      </fill>
    </dxf>
    <dxf>
      <font>
        <b/>
        <i val="0"/>
        <color rgb="FF006100"/>
      </font>
      <fill>
        <patternFill patternType="solid">
          <fgColor indexed="64"/>
          <bgColor rgb="FFC6EFCE"/>
        </patternFill>
      </fill>
    </dxf>
    <dxf>
      <numFmt numFmtId="164" formatCode="m/d/yyyy"/>
    </dxf>
    <dxf>
      <numFmt numFmtId="19" formatCode="m/d/yy"/>
    </dxf>
    <dxf>
      <font>
        <sz val="11"/>
      </font>
      <alignment horizont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Programmes by tier</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1F4E79"/>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Dashboard!$A$5:$A$10</c:f>
              <c:strCache>
                <c:ptCount val="6"/>
                <c:pt idx="0">
                  <c:v>Tier 1</c:v>
                </c:pt>
                <c:pt idx="1">
                  <c:v>Tier 2</c:v>
                </c:pt>
                <c:pt idx="2">
                  <c:v>Tier 3</c:v>
                </c:pt>
                <c:pt idx="3">
                  <c:v>Tier 4</c:v>
                </c:pt>
                <c:pt idx="4">
                  <c:v>Blocked</c:v>
                </c:pt>
                <c:pt idx="5">
                  <c:v>Closed</c:v>
                </c:pt>
              </c:strCache>
            </c:strRef>
          </c:cat>
          <c:val>
            <c:numRef>
              <c:f>Dashboard!$B$5:$B$10</c:f>
              <c:numCache>
                <c:formatCode>General</c:formatCode>
                <c:ptCount val="6"/>
                <c:pt idx="0">
                  <c:v>17</c:v>
                </c:pt>
                <c:pt idx="1">
                  <c:v>106</c:v>
                </c:pt>
                <c:pt idx="2">
                  <c:v>137</c:v>
                </c:pt>
                <c:pt idx="3">
                  <c:v>109</c:v>
                </c:pt>
                <c:pt idx="4">
                  <c:v>119</c:v>
                </c:pt>
                <c:pt idx="5">
                  <c:v>83</c:v>
                </c:pt>
              </c:numCache>
            </c:numRef>
          </c:val>
          <c:extLst>
            <c:ext xmlns:c16="http://schemas.microsoft.com/office/drawing/2014/chart" uri="{C3380CC4-5D6E-409C-BE32-E72D297353CC}">
              <c16:uniqueId val="{00000000-EA41-3E40-B333-F15B2DD53BA5}"/>
            </c:ext>
          </c:extLst>
        </c:ser>
        <c:dLbls>
          <c:showLegendKey val="0"/>
          <c:showVal val="0"/>
          <c:showCatName val="0"/>
          <c:showSerName val="0"/>
          <c:showPercent val="0"/>
          <c:showBubbleSize val="0"/>
        </c:dLbls>
        <c:gapWidth val="219"/>
        <c:overlap val="-27"/>
        <c:axId val="468812672"/>
        <c:axId val="468826560"/>
      </c:barChart>
      <c:catAx>
        <c:axId val="46881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68826560"/>
        <c:crosses val="autoZero"/>
        <c:auto val="1"/>
        <c:lblAlgn val="ctr"/>
        <c:lblOffset val="100"/>
        <c:noMultiLvlLbl val="0"/>
      </c:catAx>
      <c:valAx>
        <c:axId val="46882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6881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Programmes by category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1F4E79"/>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Dashboard!$H$14:$H$21</c:f>
              <c:strCache>
                <c:ptCount val="8"/>
                <c:pt idx="0">
                  <c:v>accelerator</c:v>
                </c:pt>
                <c:pt idx="1">
                  <c:v>credits</c:v>
                </c:pt>
                <c:pt idx="2">
                  <c:v>fellowship</c:v>
                </c:pt>
                <c:pt idx="3">
                  <c:v>founder community</c:v>
                </c:pt>
                <c:pt idx="4">
                  <c:v>grant</c:v>
                </c:pt>
                <c:pt idx="5">
                  <c:v>incubator</c:v>
                </c:pt>
                <c:pt idx="6">
                  <c:v>non-dilutive scheme</c:v>
                </c:pt>
                <c:pt idx="7">
                  <c:v>residency</c:v>
                </c:pt>
              </c:strCache>
            </c:strRef>
          </c:cat>
          <c:val>
            <c:numRef>
              <c:f>Dashboard!$I$14:$I$21</c:f>
              <c:numCache>
                <c:formatCode>General</c:formatCode>
                <c:ptCount val="8"/>
                <c:pt idx="0">
                  <c:v>192</c:v>
                </c:pt>
                <c:pt idx="1">
                  <c:v>55</c:v>
                </c:pt>
                <c:pt idx="2">
                  <c:v>39</c:v>
                </c:pt>
                <c:pt idx="3">
                  <c:v>38</c:v>
                </c:pt>
                <c:pt idx="4">
                  <c:v>84</c:v>
                </c:pt>
                <c:pt idx="5">
                  <c:v>49</c:v>
                </c:pt>
                <c:pt idx="6">
                  <c:v>74</c:v>
                </c:pt>
                <c:pt idx="7">
                  <c:v>40</c:v>
                </c:pt>
              </c:numCache>
            </c:numRef>
          </c:val>
          <c:extLst>
            <c:ext xmlns:c16="http://schemas.microsoft.com/office/drawing/2014/chart" uri="{C3380CC4-5D6E-409C-BE32-E72D297353CC}">
              <c16:uniqueId val="{00000000-85AA-504B-BBE4-BB8DCA9ECD13}"/>
            </c:ext>
          </c:extLst>
        </c:ser>
        <c:dLbls>
          <c:showLegendKey val="0"/>
          <c:showVal val="0"/>
          <c:showCatName val="0"/>
          <c:showSerName val="0"/>
          <c:showPercent val="0"/>
          <c:showBubbleSize val="0"/>
        </c:dLbls>
        <c:gapWidth val="182"/>
        <c:axId val="452016128"/>
        <c:axId val="452015680"/>
      </c:barChart>
      <c:catAx>
        <c:axId val="45201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52015680"/>
        <c:crosses val="autoZero"/>
        <c:auto val="1"/>
        <c:lblAlgn val="ctr"/>
        <c:lblOffset val="100"/>
        <c:noMultiLvlLbl val="0"/>
      </c:catAx>
      <c:valAx>
        <c:axId val="452015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5201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Deadline urgency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1F4E79"/>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Dashboard!$H$5:$H$8</c:f>
              <c:strCache>
                <c:ptCount val="4"/>
                <c:pt idx="0">
                  <c:v>Closing in 7 days or less</c:v>
                </c:pt>
                <c:pt idx="1">
                  <c:v>Closing in 8-21 days</c:v>
                </c:pt>
                <c:pt idx="2">
                  <c:v>Closing in 22-45 days</c:v>
                </c:pt>
                <c:pt idx="3">
                  <c:v>Dated, more than 45 days</c:v>
                </c:pt>
              </c:strCache>
            </c:strRef>
          </c:cat>
          <c:val>
            <c:numRef>
              <c:f>Dashboard!$I$5:$I$8</c:f>
              <c:numCache>
                <c:formatCode>General</c:formatCode>
                <c:ptCount val="4"/>
                <c:pt idx="0">
                  <c:v>31</c:v>
                </c:pt>
                <c:pt idx="1">
                  <c:v>24</c:v>
                </c:pt>
                <c:pt idx="2">
                  <c:v>14</c:v>
                </c:pt>
                <c:pt idx="3">
                  <c:v>27</c:v>
                </c:pt>
              </c:numCache>
            </c:numRef>
          </c:val>
          <c:extLst>
            <c:ext xmlns:c16="http://schemas.microsoft.com/office/drawing/2014/chart" uri="{C3380CC4-5D6E-409C-BE32-E72D297353CC}">
              <c16:uniqueId val="{00000000-74FB-3D4B-9C92-99FD00568D42}"/>
            </c:ext>
          </c:extLst>
        </c:ser>
        <c:dLbls>
          <c:showLegendKey val="0"/>
          <c:showVal val="0"/>
          <c:showCatName val="0"/>
          <c:showSerName val="0"/>
          <c:showPercent val="0"/>
          <c:showBubbleSize val="0"/>
        </c:dLbls>
        <c:gapWidth val="219"/>
        <c:overlap val="-27"/>
        <c:axId val="451923904"/>
        <c:axId val="451925696"/>
      </c:barChart>
      <c:catAx>
        <c:axId val="45192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51925696"/>
        <c:crosses val="autoZero"/>
        <c:auto val="1"/>
        <c:lblAlgn val="ctr"/>
        <c:lblOffset val="100"/>
        <c:noMultiLvlLbl val="0"/>
      </c:catAx>
      <c:valAx>
        <c:axId val="45192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5192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0</xdr:colOff>
      <xdr:row>3</xdr:row>
      <xdr:rowOff>0</xdr:rowOff>
    </xdr:from>
    <xdr:to>
      <xdr:col>17</xdr:col>
      <xdr:colOff>0</xdr:colOff>
      <xdr:row>18</xdr:row>
      <xdr:rowOff>0</xdr:rowOff>
    </xdr:to>
    <xdr:graphicFrame macro="">
      <xdr:nvGraphicFramePr>
        <xdr:cNvPr id="2" name="Chart 1">
          <a:extLst>
            <a:ext uri="{FF2B5EF4-FFF2-40B4-BE49-F238E27FC236}">
              <a16:creationId xmlns:a16="http://schemas.microsoft.com/office/drawing/2014/main" id="{7C6D4107-BBBC-E009-E551-1AE49BC0E6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19</xdr:row>
      <xdr:rowOff>0</xdr:rowOff>
    </xdr:from>
    <xdr:to>
      <xdr:col>17</xdr:col>
      <xdr:colOff>0</xdr:colOff>
      <xdr:row>38</xdr:row>
      <xdr:rowOff>0</xdr:rowOff>
    </xdr:to>
    <xdr:graphicFrame macro="">
      <xdr:nvGraphicFramePr>
        <xdr:cNvPr id="3" name="Chart 2">
          <a:extLst>
            <a:ext uri="{FF2B5EF4-FFF2-40B4-BE49-F238E27FC236}">
              <a16:creationId xmlns:a16="http://schemas.microsoft.com/office/drawing/2014/main" id="{E3A93C8E-5FD1-23D0-CEC4-23867C2F9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39</xdr:row>
      <xdr:rowOff>0</xdr:rowOff>
    </xdr:from>
    <xdr:to>
      <xdr:col>17</xdr:col>
      <xdr:colOff>0</xdr:colOff>
      <xdr:row>56</xdr:row>
      <xdr:rowOff>0</xdr:rowOff>
    </xdr:to>
    <xdr:graphicFrame macro="">
      <xdr:nvGraphicFramePr>
        <xdr:cNvPr id="4" name="Chart 3">
          <a:extLst>
            <a:ext uri="{FF2B5EF4-FFF2-40B4-BE49-F238E27FC236}">
              <a16:creationId xmlns:a16="http://schemas.microsoft.com/office/drawing/2014/main" id="{13BB615D-8714-4BD5-10F1-506768A90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B89066-0F7F-4C46-A97D-9C3B797E911E}" name="Programmes" displayName="Programmes" ref="A1:U572" totalsRowShown="0" headerRowDxfId="32">
  <autoFilter ref="A1:U572" xr:uid="{32B89066-0F7F-4C46-A97D-9C3B797E911E}">
    <filterColumn colId="1">
      <filters>
        <filter val="Tier 1"/>
        <filter val="Tier 2"/>
        <filter val="Tier 3"/>
        <filter val="Tier 4"/>
      </filters>
    </filterColumn>
  </autoFilter>
  <sortState xmlns:xlrd2="http://schemas.microsoft.com/office/spreadsheetml/2017/richdata2" ref="A2:U478">
    <sortCondition ref="I1:I572"/>
  </sortState>
  <tableColumns count="21">
    <tableColumn id="1" xr3:uid="{28A144DF-3943-E64E-A7A7-2C9CB8351F81}" name="Score"/>
    <tableColumn id="2" xr3:uid="{63C51E5A-9512-A540-A7A1-7CDE7A989D6D}" name="Tier"/>
    <tableColumn id="3" xr3:uid="{88D68CA9-5213-194C-9737-A055F344B9BA}" name="Call"/>
    <tableColumn id="4" xr3:uid="{4222B373-6E42-5C43-9151-CA5A3EF64A11}" name="Programme"/>
    <tableColumn id="5" xr3:uid="{2173185F-308C-1A46-A06A-C5E6161558A0}" name="Region"/>
    <tableColumn id="6" xr3:uid="{CC125E66-0098-794A-A30B-118EC16C2005}" name="Category"/>
    <tableColumn id="7" xr3:uid="{473D2E6F-0A8F-D143-B70A-CB66807DAF27}" name="Page state"/>
    <tableColumn id="8" xr3:uid="{EAFDA6C3-B925-4042-BE7B-CE180118578E}" name="Deadline" dataDxfId="31"/>
    <tableColumn id="9" xr3:uid="{9AEB8EF8-B199-8C49-8F8C-855BCB595812}" name="Days left"/>
    <tableColumn id="10" xr3:uid="{7E85000A-28AB-434C-8361-69A24E115E53}" name="Cash (USD)"/>
    <tableColumn id="11" xr3:uid="{EB096658-C826-4042-9E63-791BC9F35E43}" name="Terms"/>
    <tableColumn id="12" xr3:uid="{E069FB35-6F2D-5C47-86AE-D9F03C033A26}" name="Solo stance"/>
    <tableColumn id="13" xr3:uid="{6D24F81B-1988-B846-9E88-8BD14E3B6541}" name="Entity to apply"/>
    <tableColumn id="14" xr3:uid="{4C1DA210-9354-6B42-B8B3-8CFC6579E662}" name="Effort"/>
    <tableColumn id="15" xr3:uid="{34611B62-9139-2045-96F3-C4C2A280CBAB}" name="Location need"/>
    <tableColumn id="16" xr3:uid="{E40A74A0-190D-A246-AC31-7A37E1938A8A}" name="Hard blocker"/>
    <tableColumn id="17" xr3:uid="{3AD48E87-219B-0C4F-AF19-26AF7D30AFDF}" name="Apply URL"/>
    <tableColumn id="18" xr3:uid="{CCCA1D28-0B91-C44D-854A-71FCDBD1A659}" name="Why this call"/>
    <tableColumn id="19" xr3:uid="{B9A65D55-004D-0843-A092-8A3D7FF026AC}" name="Status"/>
    <tableColumn id="20" xr3:uid="{58BFF3D2-6674-8D40-8FFB-B1AC0A477822}" name="Date applied" dataDxfId="30"/>
    <tableColumn id="21" xr3:uid="{87414662-7341-244A-9C24-888D5B71EC77}"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1CCDA3-052A-3746-8675-D0D368986AB5}">
  <we:reference id="wa200009404" version="1.0.0.8" store="en-US" storeType="OMEX"/>
  <we:alternateReferences>
    <we:reference id="WA200009404" version="1.0.0.8" store="WA200009404" storeType="OMEX"/>
  </we:alternateReferences>
  <we:properties>
    <we:property name="claude.fileId" value="&quot;12b1a628-6d43-4b2e-94a0-04c4a9f915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portal.templeton.org/"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4FE58-37C3-B247-9C8B-428B6C3C6E50}">
  <dimension ref="A1:I124"/>
  <sheetViews>
    <sheetView showGridLines="0" workbookViewId="0">
      <pane ySplit="2" topLeftCell="A43" activePane="bottomLeft" state="frozen"/>
      <selection pane="bottomLeft"/>
    </sheetView>
  </sheetViews>
  <sheetFormatPr baseColWidth="10" defaultRowHeight="16" x14ac:dyDescent="0.2"/>
  <cols>
    <col min="1" max="1" width="48.33203125" customWidth="1"/>
    <col min="2" max="2" width="13" customWidth="1"/>
    <col min="3" max="3" width="11.6640625" customWidth="1"/>
    <col min="4" max="4" width="12.6640625" customWidth="1"/>
    <col min="5" max="5" width="17.33203125" customWidth="1"/>
    <col min="6" max="6" width="18.6640625" customWidth="1"/>
    <col min="7" max="7" width="38.33203125" customWidth="1"/>
    <col min="8" max="8" width="28.33203125" customWidth="1"/>
    <col min="9" max="9" width="11.6640625" customWidth="1"/>
  </cols>
  <sheetData>
    <row r="1" spans="1:9" ht="24" x14ac:dyDescent="0.3">
      <c r="A1" s="16" t="s">
        <v>3325</v>
      </c>
    </row>
    <row r="2" spans="1:9" x14ac:dyDescent="0.2">
      <c r="A2" s="17" t="str">
        <f>"571 programmes tracked  •  refreshed automatically from the all-programmes-ranked table  •  all money in USD thousands"</f>
        <v>571 programmes tracked  •  refreshed automatically from the all-programmes-ranked table  •  all money in USD thousands</v>
      </c>
    </row>
    <row r="4" spans="1:9" x14ac:dyDescent="0.2">
      <c r="A4" s="18" t="s">
        <v>3326</v>
      </c>
      <c r="E4" s="18" t="s">
        <v>3327</v>
      </c>
      <c r="H4" s="18" t="s">
        <v>3328</v>
      </c>
    </row>
    <row r="5" spans="1:9" x14ac:dyDescent="0.2">
      <c r="A5" s="48" t="s">
        <v>18</v>
      </c>
      <c r="B5" s="49">
        <f>COUNTIF(Programmes[Tier],$A5)</f>
        <v>17</v>
      </c>
      <c r="C5" s="50">
        <f t="shared" ref="C5:C10" si="0">B5/$B$11</f>
        <v>2.9772329246935202E-2</v>
      </c>
      <c r="E5" s="48" t="s">
        <v>19</v>
      </c>
      <c r="F5" s="49">
        <f>COUNTIF(Programmes[Call],$E5)</f>
        <v>124</v>
      </c>
      <c r="H5" s="48" t="s">
        <v>3333</v>
      </c>
      <c r="I5" s="49">
        <f>COUNTIFS(Programmes[Days left],"&lt;=7")</f>
        <v>31</v>
      </c>
    </row>
    <row r="6" spans="1:9" x14ac:dyDescent="0.2">
      <c r="A6" s="48" t="s">
        <v>154</v>
      </c>
      <c r="B6" s="49">
        <f>COUNTIF(Programmes[Tier],$A6)</f>
        <v>106</v>
      </c>
      <c r="C6" s="50">
        <f t="shared" si="0"/>
        <v>0.18563922942206654</v>
      </c>
      <c r="E6" s="48" t="s">
        <v>101</v>
      </c>
      <c r="F6" s="49">
        <f>COUNTIF(Programmes[Call],$E6)</f>
        <v>212</v>
      </c>
      <c r="H6" s="48" t="s">
        <v>3334</v>
      </c>
      <c r="I6" s="49">
        <f>COUNTIFS(Programmes[Days left],"&gt;=8",Programmes[Days left],"&lt;=21")</f>
        <v>24</v>
      </c>
    </row>
    <row r="7" spans="1:9" x14ac:dyDescent="0.2">
      <c r="A7" s="48" t="s">
        <v>856</v>
      </c>
      <c r="B7" s="49">
        <f>COUNTIF(Programmes[Tier],$A7)</f>
        <v>137</v>
      </c>
      <c r="C7" s="50">
        <f t="shared" si="0"/>
        <v>0.23992994746059546</v>
      </c>
      <c r="E7" s="48" t="s">
        <v>863</v>
      </c>
      <c r="F7" s="49">
        <f>COUNTIF(Programmes[Call],$E7)</f>
        <v>152</v>
      </c>
      <c r="H7" s="48" t="s">
        <v>3335</v>
      </c>
      <c r="I7" s="49">
        <f>COUNTIFS(Programmes[Days left],"&gt;=22",Programmes[Days left],"&lt;=45")</f>
        <v>14</v>
      </c>
    </row>
    <row r="8" spans="1:9" x14ac:dyDescent="0.2">
      <c r="A8" s="48" t="s">
        <v>1787</v>
      </c>
      <c r="B8" s="49">
        <f>COUNTIF(Programmes[Tier],$A8)</f>
        <v>109</v>
      </c>
      <c r="C8" s="50">
        <f t="shared" si="0"/>
        <v>0.19089316987740806</v>
      </c>
      <c r="E8" s="48" t="s">
        <v>2842</v>
      </c>
      <c r="F8" s="49">
        <f>COUNTIF(Programmes[Call],$E8)</f>
        <v>83</v>
      </c>
      <c r="H8" s="48" t="s">
        <v>3336</v>
      </c>
      <c r="I8" s="49">
        <f>COUNTIFS(Programmes[Days left],"&gt;45")</f>
        <v>27</v>
      </c>
    </row>
    <row r="9" spans="1:9" x14ac:dyDescent="0.2">
      <c r="A9" s="48" t="s">
        <v>514</v>
      </c>
      <c r="B9" s="49">
        <f>COUNTIF(Programmes[Tier],$A9)</f>
        <v>119</v>
      </c>
      <c r="C9" s="50">
        <f t="shared" si="0"/>
        <v>0.2084063047285464</v>
      </c>
      <c r="H9" s="48" t="s">
        <v>3337</v>
      </c>
      <c r="I9" s="49">
        <f>COUNTBLANK(Programmes[Days left])</f>
        <v>475</v>
      </c>
    </row>
    <row r="10" spans="1:9" x14ac:dyDescent="0.2">
      <c r="A10" s="48" t="s">
        <v>2841</v>
      </c>
      <c r="B10" s="49">
        <f>COUNTIF(Programmes[Tier],$A10)</f>
        <v>83</v>
      </c>
      <c r="C10" s="50">
        <f t="shared" si="0"/>
        <v>0.14535901926444833</v>
      </c>
    </row>
    <row r="11" spans="1:9" x14ac:dyDescent="0.2">
      <c r="A11" s="51" t="s">
        <v>3332</v>
      </c>
      <c r="B11" s="52">
        <f>SUM(B5:B10)</f>
        <v>571</v>
      </c>
      <c r="C11" s="48"/>
    </row>
    <row r="13" spans="1:9" x14ac:dyDescent="0.2">
      <c r="A13" s="18" t="s">
        <v>3329</v>
      </c>
      <c r="E13" s="18" t="s">
        <v>3330</v>
      </c>
      <c r="H13" s="18" t="s">
        <v>3331</v>
      </c>
    </row>
    <row r="14" spans="1:9" ht="34" x14ac:dyDescent="0.2">
      <c r="A14" s="48" t="s">
        <v>3323</v>
      </c>
      <c r="B14" s="49">
        <f>COUNTIF(Programmes[Status],$A14)</f>
        <v>571</v>
      </c>
      <c r="E14" s="53" t="s">
        <v>3349</v>
      </c>
      <c r="F14" s="57">
        <f>SUM(Programmes[Cash (USD)])</f>
        <v>104496884</v>
      </c>
      <c r="H14" s="48" t="str" cm="1">
        <f t="array" ref="H14:H21">_xlfn._xlws.SORT(_xlfn.UNIQUE(Programmes[Category]))</f>
        <v>accelerator</v>
      </c>
      <c r="I14" s="49" cm="1">
        <f t="array" ref="I14:I21">COUNTIF(Programmes[Category],_xlfn.ANCHORARRAY(H14))</f>
        <v>192</v>
      </c>
    </row>
    <row r="15" spans="1:9" ht="34" x14ac:dyDescent="0.2">
      <c r="A15" s="48" t="s">
        <v>3338</v>
      </c>
      <c r="B15" s="49">
        <f>COUNTIF(Programmes[Status],$A15)</f>
        <v>0</v>
      </c>
      <c r="E15" s="53" t="s">
        <v>3350</v>
      </c>
      <c r="F15" s="57">
        <f>SUMIFS(Programmes[Cash (USD)],Programmes[Call],"apply-now",Programmes[Tier],"Tier 1")+SUMIFS(Programmes[Cash (USD)],Programmes[Call],"apply-now",Programmes[Tier],"Tier 2")</f>
        <v>29985950</v>
      </c>
      <c r="H15" s="48" t="str">
        <v>credits</v>
      </c>
      <c r="I15" s="49">
        <v>55</v>
      </c>
    </row>
    <row r="16" spans="1:9" ht="34" x14ac:dyDescent="0.2">
      <c r="A16" s="48" t="s">
        <v>3339</v>
      </c>
      <c r="B16" s="49">
        <f>COUNTIF(Programmes[Status],$A16)</f>
        <v>0</v>
      </c>
      <c r="E16" s="53" t="s">
        <v>3351</v>
      </c>
      <c r="F16" s="57">
        <f>SUMIFS(Programmes[Cash (USD)],Programmes[Call],"apply-now",Programmes[Days left],"&lt;=45",Programmes[Days left],"&gt;=0")</f>
        <v>8286200</v>
      </c>
      <c r="H16" s="48" t="str">
        <v>fellowship</v>
      </c>
      <c r="I16" s="49">
        <v>39</v>
      </c>
    </row>
    <row r="17" spans="1:9" ht="34" x14ac:dyDescent="0.2">
      <c r="A17" s="48" t="s">
        <v>3340</v>
      </c>
      <c r="B17" s="49">
        <f>COUNTIF(Programmes[Status],$A17)</f>
        <v>0</v>
      </c>
      <c r="E17" s="53" t="s">
        <v>3344</v>
      </c>
      <c r="F17" s="57" cm="1">
        <f t="array" ref="F17">MEDIAN(_xlfn._xlws.FILTER(Programmes[Cash (USD)],(Programmes[Call]="apply-now")*(Programmes[Cash (USD)]&gt;0)))</f>
        <v>232500</v>
      </c>
      <c r="H17" s="48" t="str">
        <v>founder community</v>
      </c>
      <c r="I17" s="49">
        <v>38</v>
      </c>
    </row>
    <row r="18" spans="1:9" ht="34" x14ac:dyDescent="0.2">
      <c r="A18" s="48" t="s">
        <v>3341</v>
      </c>
      <c r="B18" s="49">
        <f>COUNTIF(Programmes[Status],$A18)</f>
        <v>0</v>
      </c>
      <c r="E18" s="53" t="s">
        <v>3345</v>
      </c>
      <c r="F18" s="57" cm="1">
        <f t="array" ref="F18">MAX(_xlfn._xlws.FILTER(Programmes[Cash (USD)],Programmes[Call]="apply-now"))</f>
        <v>5000000</v>
      </c>
      <c r="H18" s="48" t="str">
        <v>grant</v>
      </c>
      <c r="I18" s="49">
        <v>84</v>
      </c>
    </row>
    <row r="19" spans="1:9" x14ac:dyDescent="0.2">
      <c r="A19" s="48" t="s">
        <v>3342</v>
      </c>
      <c r="B19" s="49">
        <f>COUNTIF(Programmes[Status],$A19)</f>
        <v>0</v>
      </c>
      <c r="H19" s="48" t="str">
        <v>incubator</v>
      </c>
      <c r="I19" s="49">
        <v>49</v>
      </c>
    </row>
    <row r="20" spans="1:9" x14ac:dyDescent="0.2">
      <c r="A20" s="48" t="s">
        <v>3343</v>
      </c>
      <c r="B20" s="49">
        <f>COUNTIF(Programmes[Status],$A20)</f>
        <v>0</v>
      </c>
      <c r="H20" s="48" t="str">
        <v>non-dilutive scheme</v>
      </c>
      <c r="I20" s="49">
        <v>74</v>
      </c>
    </row>
    <row r="21" spans="1:9" x14ac:dyDescent="0.2">
      <c r="H21" s="48" t="str">
        <v>residency</v>
      </c>
      <c r="I21" s="49">
        <v>40</v>
      </c>
    </row>
    <row r="23" spans="1:9" ht="18" x14ac:dyDescent="0.25">
      <c r="A23" s="19" t="s">
        <v>3346</v>
      </c>
    </row>
    <row r="25" spans="1:9" x14ac:dyDescent="0.2">
      <c r="A25" s="20" t="s">
        <v>3</v>
      </c>
      <c r="B25" s="3" t="s">
        <v>1</v>
      </c>
      <c r="C25" s="3" t="s">
        <v>0</v>
      </c>
      <c r="D25" s="3" t="s">
        <v>8</v>
      </c>
      <c r="E25" s="3" t="s">
        <v>3324</v>
      </c>
      <c r="F25" s="3" t="s">
        <v>5</v>
      </c>
      <c r="G25" s="3" t="s">
        <v>16</v>
      </c>
    </row>
    <row r="26" spans="1:9" x14ac:dyDescent="0.2">
      <c r="A26" s="21" t="str" cm="1">
        <f t="array" ref="A26:G40">_xlfn.TAKE(_xlfn._xlws.SORT(_xlfn._xlws.FILTER(_xlfn.HSTACK(Programmes[Programme],Programmes[Tier],Programmes[Score],IF(Programmes[Deadline]="","n/a",Programmes[Days left]),Programmes[Cash (USD)],Programmes[Category],Programmes[Apply URL]),(Programmes[Call]="apply-now")*((Programmes[Tier]="Tier 1")+(Programmes[Tier]="Tier 2"))),3,-1),15)</f>
        <v>Supernova 0X Pitch Competition at Expand North Star</v>
      </c>
      <c r="B26" s="22" t="str">
        <v>Tier 1</v>
      </c>
      <c r="C26" s="23">
        <v>7.64</v>
      </c>
      <c r="D26" s="24">
        <v>80</v>
      </c>
      <c r="E26" s="58">
        <v>200000</v>
      </c>
      <c r="F26" s="22" t="str">
        <v>grant</v>
      </c>
      <c r="G26" s="25" t="str">
        <v>https://expandnorthstar.com/supernova-0X</v>
      </c>
    </row>
    <row r="27" spans="1:9" x14ac:dyDescent="0.2">
      <c r="A27" s="26" t="str">
        <v>Entrepreneur First - Bangalore Program</v>
      </c>
      <c r="B27" s="27" t="str">
        <v>Tier 1</v>
      </c>
      <c r="C27" s="28">
        <v>7.57</v>
      </c>
      <c r="D27" s="29" t="str">
        <v>n/a</v>
      </c>
      <c r="E27" s="59">
        <v>250000</v>
      </c>
      <c r="F27" s="27" t="str">
        <v>accelerator</v>
      </c>
      <c r="G27" s="30" t="str">
        <v>https://apply.joinef.com/</v>
      </c>
    </row>
    <row r="28" spans="1:9" x14ac:dyDescent="0.2">
      <c r="A28" s="26" t="str">
        <v>Hub71 Cohort 20</v>
      </c>
      <c r="B28" s="27" t="str">
        <v>Tier 1</v>
      </c>
      <c r="C28" s="28">
        <v>7.39</v>
      </c>
      <c r="D28" s="29">
        <v>7</v>
      </c>
      <c r="E28" s="59">
        <v>135000</v>
      </c>
      <c r="F28" s="27" t="str">
        <v>incubator</v>
      </c>
      <c r="G28" s="30" t="str">
        <v>https://www.hub71.com/i-am-a-startup#programsSection</v>
      </c>
    </row>
    <row r="29" spans="1:9" x14ac:dyDescent="0.2">
      <c r="A29" s="26" t="str">
        <v>Techstars Accelerators (general application)</v>
      </c>
      <c r="B29" s="27" t="str">
        <v>Tier 1</v>
      </c>
      <c r="C29" s="28">
        <v>7.36</v>
      </c>
      <c r="D29" s="29" t="str">
        <v>n/a</v>
      </c>
      <c r="E29" s="59">
        <v>220000</v>
      </c>
      <c r="F29" s="27" t="str">
        <v>accelerator</v>
      </c>
      <c r="G29" s="30" t="str">
        <v>https://apply.techstars.com/</v>
      </c>
    </row>
    <row r="30" spans="1:9" x14ac:dyDescent="0.2">
      <c r="A30" s="26" t="str">
        <v>Workers Launchpad</v>
      </c>
      <c r="B30" s="27" t="str">
        <v>Tier 1</v>
      </c>
      <c r="C30" s="28">
        <v>7.36</v>
      </c>
      <c r="D30" s="29" t="str">
        <v>n/a</v>
      </c>
      <c r="E30" s="59">
        <v>2000000</v>
      </c>
      <c r="F30" s="27" t="str">
        <v>accelerator</v>
      </c>
      <c r="G30" s="30" t="str">
        <v>https://www.cloudflare.com/startups/workers-launchpad/</v>
      </c>
    </row>
    <row r="31" spans="1:9" x14ac:dyDescent="0.2">
      <c r="A31" s="26" t="str">
        <v>CF Accelerator Batch #9</v>
      </c>
      <c r="B31" s="27" t="str">
        <v>Tier 1</v>
      </c>
      <c r="C31" s="28">
        <v>7.34</v>
      </c>
      <c r="D31" s="29">
        <v>2</v>
      </c>
      <c r="E31" s="59">
        <v>27250</v>
      </c>
      <c r="F31" s="27" t="str">
        <v>accelerator</v>
      </c>
      <c r="G31" s="30" t="str">
        <v>https://campusfounders.acceleratorapp.co/apply/program/cf-accelerator-batch-9</v>
      </c>
    </row>
    <row r="32" spans="1:9" x14ac:dyDescent="0.2">
      <c r="A32" s="26" t="str">
        <v>AIR (AI Residency)</v>
      </c>
      <c r="B32" s="27" t="str">
        <v>Tier 1</v>
      </c>
      <c r="C32" s="28">
        <v>7.33</v>
      </c>
      <c r="D32" s="29" t="str">
        <v>n/a</v>
      </c>
      <c r="E32" s="59">
        <v>500000</v>
      </c>
      <c r="F32" s="27" t="str">
        <v>residency</v>
      </c>
      <c r="G32" s="30" t="str">
        <v>https://docs.google.com/forms/d/e/1FAIpQLSc9037xpuD4bJ4NNbEtjaC-bJMkW24tb-d7ii4j9et0gQ2-2Q/viewform</v>
      </c>
    </row>
    <row r="33" spans="1:7" x14ac:dyDescent="0.2">
      <c r="A33" s="26" t="str">
        <v>Solo Founders Program (SFP) - Fall 2026</v>
      </c>
      <c r="B33" s="27" t="str">
        <v>Tier 1</v>
      </c>
      <c r="C33" s="28">
        <v>7.29</v>
      </c>
      <c r="D33" s="29">
        <v>18</v>
      </c>
      <c r="E33" s="59">
        <v>100000</v>
      </c>
      <c r="F33" s="27" t="str">
        <v>accelerator</v>
      </c>
      <c r="G33" s="30" t="str">
        <v>https://solofounders.com/program</v>
      </c>
    </row>
    <row r="34" spans="1:7" x14ac:dyDescent="0.2">
      <c r="A34" s="26" t="str">
        <v>Forum Ventures Accelerator</v>
      </c>
      <c r="B34" s="27" t="str">
        <v>Tier 1</v>
      </c>
      <c r="C34" s="28">
        <v>7.29</v>
      </c>
      <c r="D34" s="29" t="str">
        <v>n/a</v>
      </c>
      <c r="E34" s="59">
        <v>100000</v>
      </c>
      <c r="F34" s="27" t="str">
        <v>accelerator</v>
      </c>
      <c r="G34" s="30" t="str">
        <v>https://www.forumvc.com/pitch-us</v>
      </c>
    </row>
    <row r="35" spans="1:7" x14ac:dyDescent="0.2">
      <c r="A35" s="26" t="str">
        <v>Flagship Accelerator</v>
      </c>
      <c r="B35" s="27" t="str">
        <v>Tier 1</v>
      </c>
      <c r="C35" s="28">
        <v>7.26</v>
      </c>
      <c r="D35" s="29" t="str">
        <v>n/a</v>
      </c>
      <c r="E35" s="59">
        <v>272500</v>
      </c>
      <c r="F35" s="27" t="str">
        <v>accelerator</v>
      </c>
      <c r="G35" s="30" t="str">
        <v>https://app.dealum.com/#/company/application/new/65419/332vcs6q9qdc90pb7orc07m0qxnyuk7m</v>
      </c>
    </row>
    <row r="36" spans="1:7" x14ac:dyDescent="0.2">
      <c r="A36" s="26" t="str">
        <v>Start it @KBC ‚Äî Fall 2026</v>
      </c>
      <c r="B36" s="27" t="str">
        <v>Tier 1</v>
      </c>
      <c r="C36" s="28">
        <v>7.1</v>
      </c>
      <c r="D36" s="29">
        <v>31</v>
      </c>
      <c r="E36" s="59">
        <v>327000</v>
      </c>
      <c r="F36" s="27" t="str">
        <v>accelerator</v>
      </c>
      <c r="G36" s="30" t="str">
        <v>https://startit.acceleratorapp.co/apply/program/1-year-program-start-it-fall-2026</v>
      </c>
    </row>
    <row r="37" spans="1:7" x14ac:dyDescent="0.2">
      <c r="A37" s="26" t="str">
        <v>EWOR Fellowship</v>
      </c>
      <c r="B37" s="27" t="str">
        <v>Tier 1</v>
      </c>
      <c r="C37" s="28">
        <v>7.08</v>
      </c>
      <c r="D37" s="29" t="str">
        <v>n/a</v>
      </c>
      <c r="E37" s="59">
        <v>545000</v>
      </c>
      <c r="F37" s="27" t="str">
        <v>fellowship</v>
      </c>
      <c r="G37" s="30" t="str">
        <v>https://www.ewor.com/apply/</v>
      </c>
    </row>
    <row r="38" spans="1:7" x14ac:dyDescent="0.2">
      <c r="A38" s="26" t="str">
        <v>SparkLabs Taiwan Accelerator (Batch 11)</v>
      </c>
      <c r="B38" s="27" t="str">
        <v>Tier 1</v>
      </c>
      <c r="C38" s="28">
        <v>7.05</v>
      </c>
      <c r="D38" s="29" t="str">
        <v>n/a</v>
      </c>
      <c r="E38" s="59">
        <v>100000</v>
      </c>
      <c r="F38" s="27" t="str">
        <v>accelerator</v>
      </c>
      <c r="G38" s="30" t="str">
        <v>https://www.sparklabstaiwan.com/accelerator/program</v>
      </c>
    </row>
    <row r="39" spans="1:7" x14ac:dyDescent="0.2">
      <c r="A39" s="26" t="str">
        <v>AltaLab - Fall 2026</v>
      </c>
      <c r="B39" s="27" t="str">
        <v>Tier 1</v>
      </c>
      <c r="C39" s="28">
        <v>7.02</v>
      </c>
      <c r="D39" s="29">
        <v>21</v>
      </c>
      <c r="E39" s="59">
        <v>500000</v>
      </c>
      <c r="F39" s="27" t="str">
        <v>accelerator</v>
      </c>
      <c r="G39" s="30" t="str">
        <v>https://tally.so/r/xXBpq9</v>
      </c>
    </row>
    <row r="40" spans="1:7" x14ac:dyDescent="0.2">
      <c r="A40" s="31" t="str">
        <v>Slush 100 Startup Competition</v>
      </c>
      <c r="B40" s="32" t="str">
        <v>Tier 1</v>
      </c>
      <c r="C40" s="33">
        <v>7.02</v>
      </c>
      <c r="D40" s="34">
        <v>24</v>
      </c>
      <c r="E40" s="60">
        <v>545000</v>
      </c>
      <c r="F40" s="32" t="str">
        <v>grant</v>
      </c>
      <c r="G40" s="35" t="str">
        <v>https://platform.slush.org/public/slush26/activities/launch?side_event_id=9e8289e3-c313-444e-8eea-cf9061d0c28d</v>
      </c>
    </row>
    <row r="43" spans="1:7" ht="18" x14ac:dyDescent="0.25">
      <c r="A43" s="19" t="s">
        <v>3347</v>
      </c>
    </row>
    <row r="45" spans="1:7" x14ac:dyDescent="0.2">
      <c r="A45" s="20" t="s">
        <v>3</v>
      </c>
      <c r="B45" s="3" t="s">
        <v>1</v>
      </c>
      <c r="C45" s="3" t="s">
        <v>0</v>
      </c>
      <c r="D45" s="3" t="s">
        <v>8</v>
      </c>
      <c r="E45" s="3" t="s">
        <v>3324</v>
      </c>
      <c r="F45" s="3" t="s">
        <v>5</v>
      </c>
      <c r="G45" s="3" t="s">
        <v>16</v>
      </c>
    </row>
    <row r="46" spans="1:7" x14ac:dyDescent="0.2">
      <c r="A46" s="21" t="str" cm="1">
        <f t="array" ref="A46:G68">_xlfn._xlws.SORT(_xlfn._xlws.FILTER(_xlfn.HSTACK(Programmes[Programme],Programmes[Tier],Programmes[Score],Programmes[Days left],Programmes[Cash (USD)],Programmes[Category],Programmes[Apply URL]),(Programmes[Call]="apply-now")*(Programmes[Tier]&lt;&gt;"Blocked")*(Programmes[Tier]&lt;&gt;"Closed")*ISNUMBER(Programmes[Days left])*(Programmes[Days left]&lt;=21)),4,1)</f>
        <v>CF Accelerator Batch #9</v>
      </c>
      <c r="B46" s="22" t="str">
        <v>Tier 1</v>
      </c>
      <c r="C46" s="23">
        <v>7.34</v>
      </c>
      <c r="D46" s="24">
        <v>2</v>
      </c>
      <c r="E46" s="58">
        <v>27250</v>
      </c>
      <c r="F46" s="22" t="str">
        <v>accelerator</v>
      </c>
      <c r="G46" s="25" t="str">
        <v>https://campusfounders.acceleratorapp.co/apply/program/cf-accelerator-batch-9</v>
      </c>
    </row>
    <row r="47" spans="1:7" x14ac:dyDescent="0.2">
      <c r="A47" s="26" t="str">
        <v>ikigai Launchpad (Fall 2026)</v>
      </c>
      <c r="B47" s="27" t="str">
        <v>Tier 2</v>
      </c>
      <c r="C47" s="28">
        <v>6.74</v>
      </c>
      <c r="D47" s="29">
        <v>2</v>
      </c>
      <c r="E47" s="59">
        <v>100000</v>
      </c>
      <c r="F47" s="27" t="str">
        <v>accelerator</v>
      </c>
      <c r="G47" s="30" t="str">
        <v>https://tally.so/r/w5p4jQ</v>
      </c>
    </row>
    <row r="48" spans="1:7" x14ac:dyDescent="0.2">
      <c r="A48" s="26" t="str">
        <v>Hub71 Cohort 20</v>
      </c>
      <c r="B48" s="27" t="str">
        <v>Tier 1</v>
      </c>
      <c r="C48" s="28">
        <v>7.39</v>
      </c>
      <c r="D48" s="29">
        <v>7</v>
      </c>
      <c r="E48" s="59">
        <v>135000</v>
      </c>
      <c r="F48" s="27" t="str">
        <v>incubator</v>
      </c>
      <c r="G48" s="30" t="str">
        <v>https://www.hub71.com/i-am-a-startup#programsSection</v>
      </c>
    </row>
    <row r="49" spans="1:7" x14ac:dyDescent="0.2">
      <c r="A49" s="26" t="str">
        <v>Hub71 Access Programme (Cohort 20)</v>
      </c>
      <c r="B49" s="27" t="str">
        <v>Tier 2</v>
      </c>
      <c r="C49" s="28">
        <v>6.75</v>
      </c>
      <c r="D49" s="29">
        <v>7</v>
      </c>
      <c r="E49" s="59">
        <v>67500</v>
      </c>
      <c r="F49" s="27" t="str">
        <v>accelerator</v>
      </c>
      <c r="G49" s="30" t="str">
        <v>https://www.hub71.com/program/access-programme/apply</v>
      </c>
    </row>
    <row r="50" spans="1:7" x14ac:dyDescent="0.2">
      <c r="A50" s="26" t="str">
        <v>Hub71+ AI</v>
      </c>
      <c r="B50" s="27" t="str">
        <v>Tier 2</v>
      </c>
      <c r="C50" s="28">
        <v>6.49</v>
      </c>
      <c r="D50" s="29">
        <v>7</v>
      </c>
      <c r="E50" s="59">
        <v>67500</v>
      </c>
      <c r="F50" s="27" t="str">
        <v>accelerator</v>
      </c>
      <c r="G50" s="30" t="str">
        <v>https://www.hub71.com/program/access-programme/apply</v>
      </c>
    </row>
    <row r="51" spans="1:7" x14ac:dyDescent="0.2">
      <c r="A51" s="26" t="str">
        <v>Global FinTech Hackcelerator 2026</v>
      </c>
      <c r="B51" s="27" t="str">
        <v>Tier 2</v>
      </c>
      <c r="C51" s="28">
        <v>6.2</v>
      </c>
      <c r="D51" s="29">
        <v>7</v>
      </c>
      <c r="E51" s="59">
        <v>0</v>
      </c>
      <c r="F51" s="27" t="str">
        <v>non-dilutive scheme</v>
      </c>
      <c r="G51" s="30" t="str">
        <v>https://www.fintechfestival.sg/global-fintech-hackcelerator</v>
      </c>
    </row>
    <row r="52" spans="1:7" x14ac:dyDescent="0.2">
      <c r="A52" s="26" t="str">
        <v>Sanabil Startup Unlocked by 500 Global (Batch 5)</v>
      </c>
      <c r="B52" s="27" t="str">
        <v>Tier 2</v>
      </c>
      <c r="C52" s="28">
        <v>6.54</v>
      </c>
      <c r="D52" s="29">
        <v>9</v>
      </c>
      <c r="E52" s="59">
        <v>0</v>
      </c>
      <c r="F52" s="27" t="str">
        <v>accelerator</v>
      </c>
      <c r="G52" s="30" t="str">
        <v>https://sanabilstartupunlocked.aplica.500.co/</v>
      </c>
    </row>
    <row r="53" spans="1:7" x14ac:dyDescent="0.2">
      <c r="A53" s="26" t="str">
        <v>Onward FX Fall 2026</v>
      </c>
      <c r="B53" s="27" t="str">
        <v>Tier 3</v>
      </c>
      <c r="C53" s="28">
        <v>5.77</v>
      </c>
      <c r="D53" s="29">
        <v>10</v>
      </c>
      <c r="E53" s="59">
        <v>0</v>
      </c>
      <c r="F53" s="27" t="str">
        <v>non-dilutive scheme</v>
      </c>
      <c r="G53" s="30" t="str">
        <v>https://onward.nwacouncil.org/fx</v>
      </c>
    </row>
    <row r="54" spans="1:7" x14ac:dyDescent="0.2">
      <c r="A54" s="26" t="str">
        <v>AI-BOOST ‚Äî AI Challenge Competition (Challenges 1-4)</v>
      </c>
      <c r="B54" s="27" t="str">
        <v>Tier 3</v>
      </c>
      <c r="C54" s="28">
        <v>5.83</v>
      </c>
      <c r="D54" s="29">
        <v>11</v>
      </c>
      <c r="E54" s="59">
        <v>0</v>
      </c>
      <c r="F54" s="27" t="str">
        <v>grant</v>
      </c>
      <c r="G54" s="30" t="str">
        <v>https://www.f6s.com/ai-challenge-competition/</v>
      </c>
    </row>
    <row r="55" spans="1:7" x14ac:dyDescent="0.2">
      <c r="A55" s="26" t="str">
        <v>Gemini Startup Forum</v>
      </c>
      <c r="B55" s="27" t="str">
        <v>Tier 2</v>
      </c>
      <c r="C55" s="28">
        <v>6.49</v>
      </c>
      <c r="D55" s="29">
        <v>14</v>
      </c>
      <c r="E55" s="59">
        <v>0</v>
      </c>
      <c r="F55" s="27" t="str">
        <v>non-dilutive scheme</v>
      </c>
      <c r="G55" s="30" t="str">
        <v>https://startup.google.com/programs/forum/global/</v>
      </c>
    </row>
    <row r="56" spans="1:7" x14ac:dyDescent="0.2">
      <c r="A56" s="26" t="str">
        <v>The Bridge Residency - Fall 26</v>
      </c>
      <c r="B56" s="27" t="str">
        <v>Tier 2</v>
      </c>
      <c r="C56" s="28">
        <v>6.9</v>
      </c>
      <c r="D56" s="29">
        <v>16</v>
      </c>
      <c r="E56" s="59">
        <v>3000000</v>
      </c>
      <c r="F56" s="27" t="str">
        <v>residency</v>
      </c>
      <c r="G56" s="30" t="str">
        <v>https://apply.joinef.com/app/san-francisco-thebridge-fall/</v>
      </c>
    </row>
    <row r="57" spans="1:7" x14ac:dyDescent="0.2">
      <c r="A57" s="26" t="str">
        <v>Entrepreneur First - The Bridge Residency (Fall 2026) and XF2 Experienced Founders (London)</v>
      </c>
      <c r="B57" s="27" t="str">
        <v>Tier 3</v>
      </c>
      <c r="C57" s="28">
        <v>5.54</v>
      </c>
      <c r="D57" s="29">
        <v>16</v>
      </c>
      <c r="E57" s="59">
        <v>0</v>
      </c>
      <c r="F57" s="27" t="str">
        <v>residency</v>
      </c>
      <c r="G57" s="30" t="str">
        <v>https://apply.joinef.com/</v>
      </c>
    </row>
    <row r="58" spans="1:7" x14ac:dyDescent="0.2">
      <c r="A58" s="26" t="str">
        <v>Google for Startups Accelerator: Middle East, North Africa and Turkey</v>
      </c>
      <c r="B58" s="27" t="str">
        <v>Tier 2</v>
      </c>
      <c r="C58" s="28">
        <v>6.94</v>
      </c>
      <c r="D58" s="29">
        <v>17</v>
      </c>
      <c r="E58" s="59">
        <v>0</v>
      </c>
      <c r="F58" s="27" t="str">
        <v>accelerator</v>
      </c>
      <c r="G58" s="30" t="str">
        <v>https://startup.google.com/programs/accelerator/middle-east-north-africa-turkey/</v>
      </c>
    </row>
    <row r="59" spans="1:7" x14ac:dyDescent="0.2">
      <c r="A59" s="26" t="str">
        <v>NYC AI Nexus ‚Äî Fall 2026 cohort</v>
      </c>
      <c r="B59" s="27" t="str">
        <v>Tier 2</v>
      </c>
      <c r="C59" s="28">
        <v>6.8</v>
      </c>
      <c r="D59" s="29">
        <v>17</v>
      </c>
      <c r="E59" s="59">
        <v>0</v>
      </c>
      <c r="F59" s="27" t="str">
        <v>accelerator</v>
      </c>
      <c r="G59" s="30" t="str">
        <v>https://www.c10labs.com/apply</v>
      </c>
    </row>
    <row r="60" spans="1:7" x14ac:dyDescent="0.2">
      <c r="A60" s="26" t="str">
        <v>Barclays Eagle Labs ‚Äî Funding Readiness Programme</v>
      </c>
      <c r="B60" s="27" t="str">
        <v>Tier 2</v>
      </c>
      <c r="C60" s="28">
        <v>6.29</v>
      </c>
      <c r="D60" s="29">
        <v>17</v>
      </c>
      <c r="E60" s="59">
        <v>0</v>
      </c>
      <c r="F60" s="27" t="str">
        <v>non-dilutive scheme</v>
      </c>
      <c r="G60" s="30" t="str">
        <v>https://labs.uk.barclays/what-we-offer/our-programmes/eagle-labs-funding-readiness-programme/</v>
      </c>
    </row>
    <row r="61" spans="1:7" x14ac:dyDescent="0.2">
      <c r="A61" s="26" t="str">
        <v>German Accelerator - Kickstart (Scaling Clarity and Global Expansion Strategy)</v>
      </c>
      <c r="B61" s="27" t="str">
        <v>Tier 2</v>
      </c>
      <c r="C61" s="28">
        <v>6.18</v>
      </c>
      <c r="D61" s="29">
        <v>17</v>
      </c>
      <c r="E61" s="59">
        <v>0</v>
      </c>
      <c r="F61" s="27" t="str">
        <v>accelerator</v>
      </c>
      <c r="G61" s="30" t="str">
        <v>https://www.germanaccelerator.com/our-programs/kickstart</v>
      </c>
    </row>
    <row r="62" spans="1:7" x14ac:dyDescent="0.2">
      <c r="A62" s="26" t="str">
        <v>Slush Startup Stage</v>
      </c>
      <c r="B62" s="27" t="str">
        <v>Tier 2</v>
      </c>
      <c r="C62" s="28">
        <v>6.02</v>
      </c>
      <c r="D62" s="29">
        <v>17</v>
      </c>
      <c r="E62" s="59">
        <v>0</v>
      </c>
      <c r="F62" s="27" t="str">
        <v>founder community</v>
      </c>
      <c r="G62" s="30" t="str">
        <v>https://slush.typeform.com/to/ZZtRWeVd</v>
      </c>
    </row>
    <row r="63" spans="1:7" x14ac:dyDescent="0.2">
      <c r="A63" s="26" t="str">
        <v>Solo Founders Program (SFP) - Fall 2026</v>
      </c>
      <c r="B63" s="27" t="str">
        <v>Tier 1</v>
      </c>
      <c r="C63" s="28">
        <v>7.29</v>
      </c>
      <c r="D63" s="29">
        <v>18</v>
      </c>
      <c r="E63" s="59">
        <v>100000</v>
      </c>
      <c r="F63" s="27" t="str">
        <v>accelerator</v>
      </c>
      <c r="G63" s="30" t="str">
        <v>https://solofounders.com/program</v>
      </c>
    </row>
    <row r="64" spans="1:7" x14ac:dyDescent="0.2">
      <c r="A64" s="26" t="str">
        <v>Founder Institute ‚Äî Nordics Fall 2026</v>
      </c>
      <c r="B64" s="27" t="str">
        <v>Tier 3</v>
      </c>
      <c r="C64" s="28">
        <v>5.93</v>
      </c>
      <c r="D64" s="29">
        <v>18</v>
      </c>
      <c r="E64" s="59">
        <v>0</v>
      </c>
      <c r="F64" s="27" t="str">
        <v>accelerator</v>
      </c>
      <c r="G64" s="30" t="str">
        <v>https://fi.co/join</v>
      </c>
    </row>
    <row r="65" spans="1:7" x14ac:dyDescent="0.2">
      <c r="A65" s="26" t="str">
        <v>AI Launchpad Batch 4</v>
      </c>
      <c r="B65" s="27" t="str">
        <v>Tier 3</v>
      </c>
      <c r="C65" s="28">
        <v>5.29</v>
      </c>
      <c r="D65" s="29">
        <v>18</v>
      </c>
      <c r="E65" s="59">
        <v>0</v>
      </c>
      <c r="F65" s="27" t="str">
        <v>accelerator</v>
      </c>
      <c r="G65" s="30" t="str">
        <v>https://elias-ai.eu/ai-launchpad/</v>
      </c>
    </row>
    <row r="66" spans="1:7" x14ac:dyDescent="0.2">
      <c r="A66" s="26" t="str">
        <v>Innovate UK open competitions (Innovation Funding Service)</v>
      </c>
      <c r="B66" s="27" t="str">
        <v>Tier 2</v>
      </c>
      <c r="C66" s="28">
        <v>6.4</v>
      </c>
      <c r="D66" s="29">
        <v>20</v>
      </c>
      <c r="E66" s="59">
        <v>2540000</v>
      </c>
      <c r="F66" s="27" t="str">
        <v>grant</v>
      </c>
      <c r="G66" s="30" t="str">
        <v>https://apply-for-innovation-funding.service.gov.uk/competition/search</v>
      </c>
    </row>
    <row r="67" spans="1:7" x14ac:dyDescent="0.2">
      <c r="A67" s="26" t="str">
        <v>AceON Accelerator Batch #6</v>
      </c>
      <c r="B67" s="27" t="str">
        <v>Tier 3</v>
      </c>
      <c r="C67" s="28">
        <v>5.94</v>
      </c>
      <c r="D67" s="29">
        <v>20</v>
      </c>
      <c r="E67" s="59">
        <v>0</v>
      </c>
      <c r="F67" s="27" t="str">
        <v>accelerator</v>
      </c>
      <c r="G67" s="30" t="str">
        <v>https://www.aceon.io/program</v>
      </c>
    </row>
    <row r="68" spans="1:7" x14ac:dyDescent="0.2">
      <c r="A68" s="26" t="str">
        <v>AltaLab - Fall 2026</v>
      </c>
      <c r="B68" s="27" t="str">
        <v>Tier 1</v>
      </c>
      <c r="C68" s="28">
        <v>7.02</v>
      </c>
      <c r="D68" s="29">
        <v>21</v>
      </c>
      <c r="E68" s="59">
        <v>500000</v>
      </c>
      <c r="F68" s="27" t="str">
        <v>accelerator</v>
      </c>
      <c r="G68" s="30" t="str">
        <v>https://tally.so/r/xXBpq9</v>
      </c>
    </row>
    <row r="69" spans="1:7" x14ac:dyDescent="0.2">
      <c r="E69" s="56"/>
    </row>
    <row r="70" spans="1:7" x14ac:dyDescent="0.2">
      <c r="E70" s="56"/>
    </row>
    <row r="71" spans="1:7" x14ac:dyDescent="0.2">
      <c r="E71" s="56"/>
    </row>
    <row r="72" spans="1:7" x14ac:dyDescent="0.2">
      <c r="E72" s="56"/>
    </row>
    <row r="73" spans="1:7" x14ac:dyDescent="0.2">
      <c r="E73" s="56"/>
    </row>
    <row r="74" spans="1:7" x14ac:dyDescent="0.2">
      <c r="E74" s="56"/>
    </row>
    <row r="75" spans="1:7" x14ac:dyDescent="0.2">
      <c r="E75" s="56"/>
    </row>
    <row r="76" spans="1:7" x14ac:dyDescent="0.2">
      <c r="E76" s="56"/>
    </row>
    <row r="110" spans="1:4" ht="18" x14ac:dyDescent="0.25">
      <c r="A110" s="19" t="s">
        <v>3348</v>
      </c>
    </row>
    <row r="112" spans="1:4" x14ac:dyDescent="0.2">
      <c r="A112" s="20" t="s">
        <v>3</v>
      </c>
      <c r="B112" s="3" t="s">
        <v>0</v>
      </c>
      <c r="C112" s="3" t="s">
        <v>15</v>
      </c>
      <c r="D112" s="3" t="s">
        <v>16</v>
      </c>
    </row>
    <row r="113" spans="1:4" x14ac:dyDescent="0.2">
      <c r="A113" s="36" t="str" cm="1">
        <f t="array" ref="A113:D124">_xlfn.TAKE(_xlfn._xlws.SORT(_xlfn._xlws.FILTER(_xlfn.CHOOSECOLS(Programmes[[Score]:[Notes]],4,1,16,17),Programmes[Tier]="Blocked"),2,-1),12)</f>
        <v>Thiel Fellowship</v>
      </c>
      <c r="B113" s="37">
        <v>6.37</v>
      </c>
      <c r="C113" s="38" t="str">
        <v>AGE AND EDUCATION. FAQ, in the programme's own words: "Anyone aged 22 or younger (and without a university degree) is eligible to apply." The founder holds a TUM degree and is well past 22. Two independent, published, binary walls.</v>
      </c>
      <c r="D113" s="39" t="str">
        <v>https://thielfellowship.org/apply</v>
      </c>
    </row>
    <row r="114" spans="1:4" x14ac:dyDescent="0.2">
      <c r="A114" s="40" t="str">
        <v>Techstars Founder Catalyst Global Fall 2026</v>
      </c>
      <c r="B114" s="41">
        <v>6.33</v>
      </c>
      <c r="C114" s="42" t="str">
        <v>GEOGRAPHIC ELIGIBILITY WALL, CONFIRMED VERBATIM. The programme is "offered exclusively to founders from our partner communities in Istanbul, Sarajevo, Omaha, Uzbekistan, and Belfast" and the eligible-communities section states it is "for early-stage founders currently building in the following communities: Omaha, Sarajevo, Istanbul, Uzbekistan, Belfast." Bangalore does not qualify. This is a published eligibility requirement, not a preference.</v>
      </c>
      <c r="D114" s="43" t="str">
        <v>https://www.techstars.com/techstars-founder-catalyst-global-fall-2026-program</v>
      </c>
    </row>
    <row r="115" spans="1:4" x14ac:dyDescent="0.2">
      <c r="A115" s="40" t="str">
        <v>Startup Highway (pre-acceleration and incubation)</v>
      </c>
      <c r="B115" s="41">
        <v>6.15</v>
      </c>
      <c r="C115" s="42" t="str">
        <v>Requires an existing company based specifically in Central or Western Lithuania (Kaunas-Klaipƒóda corridor) ‚Äî both an entity and a sub-national location gate.</v>
      </c>
      <c r="D115" s="43" t="str">
        <v>https://www.rockitvilnius.com/startups</v>
      </c>
    </row>
    <row r="116" spans="1:4" x14ac:dyDescent="0.2">
      <c r="A116" s="40" t="str">
        <v>Techstars Founder Catalyst</v>
      </c>
      <c r="B116" s="41">
        <v>6.15</v>
      </c>
      <c r="C116" s="42" t="str">
        <v>Geographic eligibility. The Global Fall 2026 page states "Must be currently building in or from Omaha, Sarajevo, Istanbul, Uzbekistan, or Belfast" - Bangalore is not on the list. This is a genuine eligibility wall for the currently-open cohorts, not a preference.</v>
      </c>
      <c r="D116" s="43" t="str">
        <v>https://www.techstars.com/founder-catalyst</v>
      </c>
    </row>
    <row r="117" spans="1:4" x14ac:dyDescent="0.2">
      <c r="A117" s="40" t="str">
        <v>NVIDIA Inception</v>
      </c>
      <c r="B117" s="41">
        <v>6.12</v>
      </c>
      <c r="C117" s="42" t="str">
        <v>none</v>
      </c>
      <c r="D117" s="43" t="str">
        <v>https://programs.nvidia.com/phoenix/application</v>
      </c>
    </row>
    <row r="118" spans="1:4" x14ac:dyDescent="0.2">
      <c r="A118" s="40" t="str">
        <v>Surge by Peak XV</v>
      </c>
      <c r="B118" s="41">
        <v>6.04</v>
      </c>
      <c r="C118" s="42" t="str">
        <v>null</v>
      </c>
      <c r="D118" s="43" t="str">
        <v>https://surge.peakxv.com/apply</v>
      </c>
    </row>
    <row r="119" spans="1:4" x14ac:dyDescent="0.2">
      <c r="A119" s="40" t="str">
        <v>Slush 100 (and Slush 2026 startup programme)</v>
      </c>
      <c r="B119" s="41">
        <v>5.79</v>
      </c>
      <c r="C119" s="42" t="str">
        <v>null</v>
      </c>
      <c r="D119" s="43" t="str">
        <v>https://slush.org/audience/startups/startups</v>
      </c>
    </row>
    <row r="120" spans="1:4" x14ac:dyDescent="0.2">
      <c r="A120" s="40" t="str">
        <v>Baseten AI Startup Program</v>
      </c>
      <c r="B120" s="41">
        <v>5.57</v>
      </c>
      <c r="C120" s="42" t="str">
        <v>Stated criteria are 'Seed to Series A and you started less than 5 years ago' plus AI central to core product and net-new customer. The funding-stage phrasing may exclude a pre-raise founder - resolve in phase 2 rather than assuming.</v>
      </c>
      <c r="D120" s="43" t="str">
        <v>https://www.baseten.co/talk-to-us/startup-program/</v>
      </c>
    </row>
    <row r="121" spans="1:4" x14ac:dyDescent="0.2">
      <c r="A121" s="40" t="str">
        <v>Edge City Inflection Fellowship (India cohort)</v>
      </c>
      <c r="B121" s="41">
        <v>5.56</v>
      </c>
      <c r="C121" s="42" t="str">
        <v>AGE. "A three-week, fully-funded fellowship for exceptional builders under 25" and "You must be under 25 years old when you'll attend the popup village." The founder is well past 25 given the ISRO to Infineon to Intellect career arc. Published, binary and disqualifying.</v>
      </c>
      <c r="D121" s="43" t="str">
        <v>https://www.edgecity.live/blog/announcing-the-inflection-fellowship-2026-at-edge-esmeralda</v>
      </c>
    </row>
    <row r="122" spans="1:4" x14ac:dyDescent="0.2">
      <c r="A122" s="40" t="str">
        <v>The Bridge Residency, San Francisco ‚Äî Fall 2026</v>
      </c>
      <c r="B122" s="41">
        <v>5.56</v>
      </c>
      <c r="C122" s="42" t="str">
        <v>Possible: positioned for 'young Europeans'. Verify whether an age band or a current-Europe-residence rule is actually published, since the founder is currently in Bangalore. This may be a real eligibility wall or merely marketing language ‚Äî not resolved in this pass.</v>
      </c>
      <c r="D122" s="43" t="str">
        <v>https://apply.joinef.com/</v>
      </c>
    </row>
    <row r="123" spans="1:4" x14ac:dyDescent="0.2">
      <c r="A123" s="40" t="str">
        <v>Morgan Stanley Inclusive Ventures Lab</v>
      </c>
      <c r="B123" s="41">
        <v>5.55</v>
      </c>
      <c r="C123" s="42" t="str">
        <v>possible demographic eligibility screen - unresolved, see notes</v>
      </c>
      <c r="D123" s="43" t="str">
        <v>https://www.morganstanley.com/what-we-do/inclusive-ventures-lab</v>
      </c>
    </row>
    <row r="124" spans="1:4" x14ac:dyDescent="0.2">
      <c r="A124" s="44" t="str">
        <v>Cyberport Creative Micro Fund (CCMF) - Hong Kong Programme</v>
      </c>
      <c r="B124" s="45">
        <v>5.52</v>
      </c>
      <c r="C124" s="46" t="str">
        <v>A Hong Kong nexus is required, but which one depends on the route, and one route does not need an entity to apply: "Individual Applicants: Principal applicant must be Hong Kong ID Card holder. Company Applicants: Limited company registered and incorporated in Hong Kong upon admission." The founder holds no HK ID card, so the individual route is walled. The company route requires the HK company only upon admission, not to apply - so applying is possible, but accepting means incorporating in Hong Kong.</v>
      </c>
      <c r="D124" s="47" t="str">
        <v>https://ems.cyberport.hk/form/?selected_lang=en</v>
      </c>
    </row>
  </sheetData>
  <conditionalFormatting sqref="B26:B40">
    <cfRule type="expression" dxfId="29" priority="1">
      <formula>$B26="Tier 1"</formula>
    </cfRule>
    <cfRule type="expression" dxfId="28" priority="2">
      <formula>$B26="Tier 2"</formula>
    </cfRule>
  </conditionalFormatting>
  <conditionalFormatting sqref="B46:B68">
    <cfRule type="expression" dxfId="27" priority="3">
      <formula>$B26="Tier 1"</formula>
    </cfRule>
    <cfRule type="expression" dxfId="26" priority="4">
      <formula>$B26="Tier 2"</formula>
    </cfRule>
  </conditionalFormatting>
  <conditionalFormatting sqref="D26:D40">
    <cfRule type="expression" dxfId="25" priority="5">
      <formula>AND(ISNUMBER($D26),$D26&lt;=7)</formula>
    </cfRule>
    <cfRule type="expression" dxfId="24" priority="6">
      <formula>AND(ISNUMBER($D26),$D26&gt;=8,$D26&lt;=21)</formula>
    </cfRule>
  </conditionalFormatting>
  <conditionalFormatting sqref="D46:D68">
    <cfRule type="expression" dxfId="23" priority="7">
      <formula>AND(ISNUMBER($D46),$D46&lt;=7)</formula>
    </cfRule>
    <cfRule type="expression" dxfId="22" priority="8">
      <formula>AND(ISNUMBER($D46),$D46&gt;=8,$D46&lt;=21)</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F8A91-000A-6244-8CFB-13592D09547E}">
  <dimension ref="A1:U200"/>
  <sheetViews>
    <sheetView workbookViewId="0">
      <pane xSplit="4" ySplit="1" topLeftCell="E2" activePane="bottomRight" state="frozen"/>
      <selection pane="topRight" activeCell="E1" sqref="E1"/>
      <selection pane="bottomLeft" activeCell="A2" sqref="A2"/>
      <selection pane="bottomRight"/>
    </sheetView>
  </sheetViews>
  <sheetFormatPr baseColWidth="10" defaultRowHeight="16" outlineLevelCol="1" x14ac:dyDescent="0.2"/>
  <cols>
    <col min="1" max="1" width="9.6640625" customWidth="1"/>
    <col min="2" max="2" width="12" customWidth="1"/>
    <col min="3" max="3" width="15.33203125" customWidth="1"/>
    <col min="4" max="4" width="41.6640625" customWidth="1"/>
    <col min="5" max="5" width="25" customWidth="1"/>
    <col min="6" max="6" width="15.33203125" customWidth="1"/>
    <col min="7" max="7" width="14.6640625" customWidth="1"/>
    <col min="8" max="8" width="15.33203125" customWidth="1"/>
    <col min="9" max="9" width="12.33203125" customWidth="1"/>
    <col min="10" max="10" width="15.33203125" customWidth="1"/>
    <col min="11" max="12" width="25" customWidth="1" outlineLevel="1"/>
    <col min="13" max="13" width="16" customWidth="1" outlineLevel="1"/>
    <col min="14" max="15" width="25" customWidth="1" outlineLevel="1"/>
    <col min="16" max="16" width="18.33203125" customWidth="1" outlineLevel="1"/>
    <col min="17" max="17" width="28.33203125" customWidth="1"/>
    <col min="18" max="18" width="31.6640625" customWidth="1"/>
    <col min="19" max="19" width="16.6640625" customWidth="1"/>
    <col min="20" max="20" width="16" customWidth="1"/>
    <col min="21" max="21" width="33.33203125" customWidth="1"/>
  </cols>
  <sheetData>
    <row r="1" spans="1:21" ht="34" customHeight="1" x14ac:dyDescent="0.2">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3320</v>
      </c>
      <c r="T1" s="12" t="s">
        <v>3321</v>
      </c>
      <c r="U1" s="12" t="s">
        <v>3322</v>
      </c>
    </row>
    <row r="2" spans="1:21" x14ac:dyDescent="0.2">
      <c r="A2" s="13" cm="1">
        <f t="array" ref="A2:U32">IFERROR(_xlfn._xlws.SORT(_xlfn._xlws.FILTER(Programmes[[Score]:[Notes]],(Programmes[Call]="apply-now")*(Programmes[Tier]&lt;&gt;"Blocked")*(Programmes[Tier]&lt;&gt;"Closed")*ISNUMBER(Programmes[Days left])*(Programmes[Days left]&lt;=45)),9,1),"No matches")</f>
        <v>7.34</v>
      </c>
      <c r="B2" s="4" t="str">
        <v>Tier 1</v>
      </c>
      <c r="C2" s="4" t="str">
        <v>apply-now</v>
      </c>
      <c r="D2" t="str">
        <v>CF Accelerator Batch #9</v>
      </c>
      <c r="E2" t="str">
        <v>Europe ‚Äî Heilbronn, Germany</v>
      </c>
      <c r="F2" t="str">
        <v>accelerator</v>
      </c>
      <c r="G2" s="4" t="str">
        <v>OPEN</v>
      </c>
      <c r="H2" s="14">
        <v>46250</v>
      </c>
      <c r="I2" s="15">
        <v>2</v>
      </c>
      <c r="J2" s="55">
        <v>27250</v>
      </c>
      <c r="K2" t="str">
        <v>'Cost and equity-free' ‚Äî no equity taken, no participation fee</v>
      </c>
      <c r="L2" t="str">
        <v>Prefers teams but does not bar solo: 'if you have a special talent and are convinced that you have what it takes...we are willing to make an exception'</v>
      </c>
      <c r="M2" t="b">
        <v>0</v>
      </c>
      <c r="N2" t="str">
        <v>~2-3 hours</v>
      </c>
      <c r="O2" t="str">
        <v>Physical attendance highly preferred during the programme; Heilbronn, Germany</v>
      </c>
      <c r="P2" t="str">
        <v>none</v>
      </c>
      <c r="Q2" t="str">
        <v>https://campusfounders.acceleratorapp.co/apply/program/cf-accelerator-batch-9</v>
      </c>
      <c r="R2" t="str">
        <v>Closes in 2 days on an open form. Forms are editable; file and refine.</v>
      </c>
      <c r="S2" t="str">
        <v>Not started</v>
      </c>
      <c r="T2" s="2">
        <v>0</v>
      </c>
      <c r="U2">
        <v>0</v>
      </c>
    </row>
    <row r="3" spans="1:21" x14ac:dyDescent="0.2">
      <c r="A3" s="13">
        <v>6.74</v>
      </c>
      <c r="B3" s="4" t="str">
        <v>Tier 2</v>
      </c>
      <c r="C3" s="4" t="str">
        <v>apply-now</v>
      </c>
      <c r="D3" t="str">
        <v>ikigai Launchpad (Fall 2026)</v>
      </c>
      <c r="E3" t="str">
        <v>Taiwan / Taipei</v>
      </c>
      <c r="F3" t="str">
        <v>accelerator</v>
      </c>
      <c r="G3" s="4" t="str">
        <v>OPEN</v>
      </c>
      <c r="H3" s="14">
        <v>46250</v>
      </c>
      <c r="I3" s="15">
        <v>2</v>
      </c>
      <c r="J3" s="55">
        <v>100000</v>
      </c>
      <c r="K3" t="str">
        <v>$100,000 for 8% via SAFE. That is a $1.25M effective valuation - the most expensive equity per dollar of any funded programme in this lane except Tenity.</v>
      </c>
      <c r="L3" t="str">
        <v>Explicitly welcomes solo, verified on the programme FAQ: "A co-founder is not required, but the company needs credible technical or domain capability on the founding team." The founder is the builder, so the condition is met on his own.</v>
      </c>
      <c r="M3" t="b">
        <v>0</v>
      </c>
      <c r="N3" t="str">
        <v>No matches</v>
      </c>
      <c r="O3" t="str">
        <v>10 weeks in person in Taipei. "The program takes place in person in Taipei. All co-founders are expected to join on site." Free office space for the full 10 weeks. No nationality or residency condition - "We are open to founders anywhere."</v>
      </c>
      <c r="P3" t="str">
        <v>null</v>
      </c>
      <c r="Q3" t="str">
        <v>https://tally.so/r/w5p4jQ</v>
      </c>
      <c r="R3" t="str">
        <v>Closes in 2 days on an open form. Forms are editable; file and refine.</v>
      </c>
      <c r="S3" t="str">
        <v>Not started</v>
      </c>
      <c r="T3" s="2">
        <v>0</v>
      </c>
      <c r="U3">
        <v>0</v>
      </c>
    </row>
    <row r="4" spans="1:21" x14ac:dyDescent="0.2">
      <c r="A4" s="13">
        <v>7.39</v>
      </c>
      <c r="B4" s="4" t="str">
        <v>Tier 1</v>
      </c>
      <c r="C4" s="4" t="str">
        <v>apply-now</v>
      </c>
      <c r="D4" t="str">
        <v>Hub71 Cohort 20</v>
      </c>
      <c r="E4" t="str">
        <v>United Arab Emirates (Abu Dhabi)</v>
      </c>
      <c r="F4" t="str">
        <v>incubator</v>
      </c>
      <c r="G4" s="4" t="str">
        <v>OPEN</v>
      </c>
      <c r="H4" s="14">
        <v>46255</v>
      </c>
      <c r="I4" s="15">
        <v>7</v>
      </c>
      <c r="J4" s="55">
        <v>135000</v>
      </c>
      <c r="K4" t="str">
        <v>NOT fully non-dilutive - the cash leg converts via a SAFE at the next priced round. The in-kind half is non-dilutive.</v>
      </c>
      <c r="L4" t="str">
        <v>Not stated on the page</v>
      </c>
      <c r="M4" t="b">
        <v>0</v>
      </c>
      <c r="N4" t="str">
        <v>Moderate - programme-specific application forms; Hub71+ AI is the relevant track</v>
      </c>
      <c r="O4" t="str">
        <v>At least one founder must relocate to Abu Dhabi long-term - a real, ongoing condition, not a visit</v>
      </c>
      <c r="P4" t="str">
        <v>none</v>
      </c>
      <c r="Q4" t="str">
        <v>https://www.hub71.com/i-am-a-startup#programsSection</v>
      </c>
      <c r="R4" t="str">
        <v>Closes in 7 days on an open form. Forms are editable; file and refine.</v>
      </c>
      <c r="S4" t="str">
        <v>Not started</v>
      </c>
      <c r="T4" s="2">
        <v>0</v>
      </c>
      <c r="U4">
        <v>0</v>
      </c>
    </row>
    <row r="5" spans="1:21" x14ac:dyDescent="0.2">
      <c r="A5" s="13">
        <v>6.75</v>
      </c>
      <c r="B5" s="4" t="str">
        <v>Tier 2</v>
      </c>
      <c r="C5" s="4" t="str">
        <v>apply-now</v>
      </c>
      <c r="D5" t="str">
        <v>Hub71 Access Programme (Cohort 20)</v>
      </c>
      <c r="E5" t="str">
        <v>UAE / Abu Dhabi</v>
      </c>
      <c r="F5" t="str">
        <v>accelerator</v>
      </c>
      <c r="G5" s="4" t="str">
        <v>OPEN</v>
      </c>
      <c r="H5" s="14">
        <v>46255</v>
      </c>
      <c r="I5" s="15">
        <v>7</v>
      </c>
      <c r="J5" s="55">
        <v>67500</v>
      </c>
      <c r="K5" t="str">
        <v>SAFE note. Equity is taken. Valuation and percentage are not published on either page.</v>
      </c>
      <c r="L5" t="str">
        <v>No team-size rule published. VERIFIED across both the programme page and the apply page: the only founder-side condition is "At least one founder is expected to commit to relocating long-term and building a team out of Abu Dhabi." Solo is not excluded.</v>
      </c>
      <c r="M5" t="b">
        <v>0</v>
      </c>
      <c r="N5" t="str">
        <v>No matches</v>
      </c>
      <c r="O5" t="str">
        <v>No matches</v>
      </c>
      <c r="P5" t="str">
        <v>null</v>
      </c>
      <c r="Q5" t="str">
        <v>https://www.hub71.com/program/access-programme/apply</v>
      </c>
      <c r="R5" t="str">
        <v>Closes in 7 days on an open form. Forms are editable; file and refine.</v>
      </c>
      <c r="S5" t="str">
        <v>Not started</v>
      </c>
      <c r="T5" s="2">
        <v>0</v>
      </c>
      <c r="U5">
        <v>0</v>
      </c>
    </row>
    <row r="6" spans="1:21" x14ac:dyDescent="0.2">
      <c r="A6" s="13">
        <v>6.49</v>
      </c>
      <c r="B6" s="4" t="str">
        <v>Tier 2</v>
      </c>
      <c r="C6" s="4" t="str">
        <v>apply-now</v>
      </c>
      <c r="D6" t="str">
        <v>Hub71+ AI</v>
      </c>
      <c r="E6" t="str">
        <v>UAE / Abu Dhabi</v>
      </c>
      <c r="F6" t="str">
        <v>accelerator</v>
      </c>
      <c r="G6" s="4" t="str">
        <v>OPEN</v>
      </c>
      <c r="H6" s="14">
        <v>46255</v>
      </c>
      <c r="I6" s="15">
        <v>7</v>
      </c>
      <c r="J6" s="55">
        <v>67500</v>
      </c>
      <c r="K6" t="str">
        <v>Inherits Access: SAFE note, equity taken.</v>
      </c>
      <c r="L6" t="str">
        <v>Inherits the Access Programme stance - no published team-size rule.</v>
      </c>
      <c r="M6" t="b">
        <v>0</v>
      </c>
      <c r="N6" t="str">
        <v>Zero incremental effort. It is one yes/no question inside the Access form.</v>
      </c>
      <c r="O6" t="str">
        <v>Inherits Access: Abu Dhabi, with at least one founder committing to long-term relocation.</v>
      </c>
      <c r="P6" t="str">
        <v>null</v>
      </c>
      <c r="Q6" t="str">
        <v>https://www.hub71.com/program/access-programme/apply</v>
      </c>
      <c r="R6" t="str">
        <v>Closes in 7 days on an open form. Forms are editable; file and refine.</v>
      </c>
      <c r="S6" t="str">
        <v>Not started</v>
      </c>
      <c r="T6" s="2">
        <v>0</v>
      </c>
      <c r="U6">
        <v>0</v>
      </c>
    </row>
    <row r="7" spans="1:21" x14ac:dyDescent="0.2">
      <c r="A7" s="13">
        <v>6.2</v>
      </c>
      <c r="B7" s="4" t="str">
        <v>Tier 2</v>
      </c>
      <c r="C7" s="4" t="str">
        <v>apply-now</v>
      </c>
      <c r="D7" t="str">
        <v>Global FinTech Hackcelerator 2026</v>
      </c>
      <c r="E7" t="str">
        <v>GLOBAL applicants ‚Äî finals in Singapore</v>
      </c>
      <c r="F7" t="str">
        <v>non-dilutive scheme</v>
      </c>
      <c r="G7" s="4" t="str">
        <v>OPEN</v>
      </c>
      <c r="H7" s="14">
        <v>46255</v>
      </c>
      <c r="I7" s="15">
        <v>7</v>
      </c>
      <c r="J7" s="55">
        <v>0</v>
      </c>
      <c r="K7" t="str">
        <v>Free to apply; 'finalists will benefit from the full programme without equity dilution'</v>
      </c>
      <c r="L7" t="str">
        <v>Not addressed</v>
      </c>
      <c r="M7" t="b">
        <v>0</v>
      </c>
      <c r="N7" t="str">
        <v>~3-4 hours ‚Äî registration form, then pitch deck, written proposal and a short demo video</v>
      </c>
      <c r="O7" t="str">
        <v>Open to global applicants; attendance in Singapore mandatory for finalists during the programme week and Demo Day</v>
      </c>
      <c r="P7" t="str">
        <v>none</v>
      </c>
      <c r="Q7" t="str">
        <v>https://www.fintechfestival.sg/global-fintech-hackcelerator</v>
      </c>
      <c r="R7" t="str">
        <v>Closes in 7 days on an open form. Forms are editable; file and refine.</v>
      </c>
      <c r="S7" t="str">
        <v>Not started</v>
      </c>
      <c r="T7" s="2">
        <v>0</v>
      </c>
      <c r="U7">
        <v>0</v>
      </c>
    </row>
    <row r="8" spans="1:21" x14ac:dyDescent="0.2">
      <c r="A8" s="13">
        <v>6.54</v>
      </c>
      <c r="B8" s="4" t="str">
        <v>Tier 2</v>
      </c>
      <c r="C8" s="4" t="str">
        <v>apply-now</v>
      </c>
      <c r="D8" t="str">
        <v>Sanabil Startup Unlocked by 500 Global (Batch 5)</v>
      </c>
      <c r="E8" t="str">
        <v>Saudi Arabia / Riyadh</v>
      </c>
      <c r="F8" t="str">
        <v>accelerator</v>
      </c>
      <c r="G8" s="4" t="str">
        <v>OPEN</v>
      </c>
      <c r="H8" s="14">
        <v>46257</v>
      </c>
      <c r="I8" s="15">
        <v>9</v>
      </c>
      <c r="J8" s="55">
        <v>0</v>
      </c>
      <c r="K8" t="str">
        <v>None stated. No equity is mentioned anywhere on the programme pages.</v>
      </c>
      <c r="L8" t="str">
        <v>Not stated on either the Aplica page or the 500.co bootcamp page. No team-size condition appears in the published eligibility.</v>
      </c>
      <c r="M8" t="b">
        <v>0</v>
      </c>
      <c r="N8" t="str">
        <v>Under 2 hours. Short form on the Aplica platform. No video requirement and no references stated.</v>
      </c>
      <c r="O8" t="str">
        <v>5-day in-person bootcamp in Riyadh. "Built for startups looking to expand in Saudi Arabia." Whether travel and accommodation are self-funded is NOT stated on either page - phase 1 asked and the pages do not answer it.</v>
      </c>
      <c r="P8" t="str">
        <v>null</v>
      </c>
      <c r="Q8" t="str">
        <v>https://sanabilstartupunlocked.aplica.500.co/</v>
      </c>
      <c r="R8" t="str">
        <v>Closes in 9 days on an open form. Forms are editable; file and refine.</v>
      </c>
      <c r="S8" t="str">
        <v>Not started</v>
      </c>
      <c r="T8" s="2">
        <v>0</v>
      </c>
      <c r="U8">
        <v>0</v>
      </c>
    </row>
    <row r="9" spans="1:21" x14ac:dyDescent="0.2">
      <c r="A9" s="13">
        <v>5.77</v>
      </c>
      <c r="B9" s="4" t="str">
        <v>Tier 3</v>
      </c>
      <c r="C9" s="4" t="str">
        <v>apply-now</v>
      </c>
      <c r="D9" t="str">
        <v>Onward FX Fall 2026</v>
      </c>
      <c r="E9" t="str">
        <v>US ‚Äî Pacific Northwest</v>
      </c>
      <c r="F9" t="str">
        <v>non-dilutive scheme</v>
      </c>
      <c r="G9" s="4" t="str">
        <v>OPEN</v>
      </c>
      <c r="H9" s="14">
        <v>46258</v>
      </c>
      <c r="I9" s="15">
        <v>10</v>
      </c>
      <c r="J9" s="55">
        <v>0</v>
      </c>
      <c r="K9" t="str">
        <v>None stated</v>
      </c>
      <c r="L9" t="str">
        <v>Not addressed</v>
      </c>
      <c r="M9" t="b">
        <v>0</v>
      </c>
      <c r="N9" t="str">
        <v>Low</v>
      </c>
      <c r="O9" t="str">
        <v>In-person event</v>
      </c>
      <c r="P9" t="str">
        <v>none</v>
      </c>
      <c r="Q9" t="str">
        <v>https://onward.nwacouncil.org/fx</v>
      </c>
      <c r="R9" t="str">
        <v>Closes in 10 days on an open form. Forms are editable; file and refine.</v>
      </c>
      <c r="S9" t="str">
        <v>Not started</v>
      </c>
      <c r="T9" s="2">
        <v>0</v>
      </c>
      <c r="U9">
        <v>0</v>
      </c>
    </row>
    <row r="10" spans="1:21" x14ac:dyDescent="0.2">
      <c r="A10" s="13">
        <v>5.83</v>
      </c>
      <c r="B10" s="4" t="str">
        <v>Tier 3</v>
      </c>
      <c r="C10" s="4" t="str">
        <v>apply-now</v>
      </c>
      <c r="D10" t="str">
        <v>AI-BOOST ‚Äî AI Challenge Competition (Challenges 1-4)</v>
      </c>
      <c r="E10" t="str">
        <v>EU Member States, Overseas Countries and Territories, and Horizon Europe Associated Countries</v>
      </c>
      <c r="F10" t="str">
        <v>grant</v>
      </c>
      <c r="G10" s="4" t="str">
        <v>OPEN</v>
      </c>
      <c r="H10" s="14">
        <v>46259</v>
      </c>
      <c r="I10" s="15">
        <v>11</v>
      </c>
      <c r="J10" s="55">
        <v>0</v>
      </c>
      <c r="K10" t="str">
        <v>Prize money, fully non-dilutive.</v>
      </c>
      <c r="L10" t="str">
        <v>Explicitly open to individuals: "Applications may be submitted by individuals, single legal entities, or teams/consortia from academia and industry." A solo founder is expressly contemplated.</v>
      </c>
      <c r="M10" t="b">
        <v>0</v>
      </c>
      <c r="N10" t="str">
        <v>Low for Spark Phase ‚Äî a concept note, perhaps 10-20 hours. Advance Phase is a five-month build commitment.</v>
      </c>
      <c r="O10" t="str">
        <v>Applicants must be established in an EU Member State, Overseas Countries and Territories, or eligible Associated Countries. Projects must be civil-application only.</v>
      </c>
      <c r="P10" t="str">
        <v>No matches</v>
      </c>
      <c r="Q10" t="str">
        <v>https://www.f6s.com/ai-challenge-competition/</v>
      </c>
      <c r="R10" t="str">
        <v>Closes in 11 days on an open form. Forms are editable; file and refine.</v>
      </c>
      <c r="S10" t="str">
        <v>Not started</v>
      </c>
      <c r="T10" s="2">
        <v>0</v>
      </c>
      <c r="U10">
        <v>0</v>
      </c>
    </row>
    <row r="11" spans="1:21" x14ac:dyDescent="0.2">
      <c r="A11" s="13">
        <v>6.49</v>
      </c>
      <c r="B11" s="4" t="str">
        <v>Tier 2</v>
      </c>
      <c r="C11" s="4" t="str">
        <v>apply-now</v>
      </c>
      <c r="D11" t="str">
        <v>Gemini Startup Forum</v>
      </c>
      <c r="E11" t="str">
        <v>GLOBAL applicants ‚Äî event in the Bay Area</v>
      </c>
      <c r="F11" t="str">
        <v>non-dilutive scheme</v>
      </c>
      <c r="G11" s="4" t="str">
        <v>OPEN</v>
      </c>
      <c r="H11" s="14">
        <v>46262</v>
      </c>
      <c r="I11" s="15">
        <v>14</v>
      </c>
      <c r="J11" s="55">
        <v>0</v>
      </c>
      <c r="K11" t="str">
        <v>Equity-free</v>
      </c>
      <c r="L11" t="str">
        <v>Not addressed; selection is founder-level</v>
      </c>
      <c r="M11" t="b">
        <v>0</v>
      </c>
      <c r="N11" t="str">
        <v>~1 hour</v>
      </c>
      <c r="O11" t="str">
        <v>Must attend two days in the Bay Area; open to founders from around the world</v>
      </c>
      <c r="P11" t="str">
        <v>none</v>
      </c>
      <c r="Q11" t="str">
        <v>https://startup.google.com/programs/forum/global/</v>
      </c>
      <c r="R11" t="str">
        <v>Closes in 14 days on an open form. Forms are editable; file and refine.</v>
      </c>
      <c r="S11" t="str">
        <v>Not started</v>
      </c>
      <c r="T11" s="2">
        <v>0</v>
      </c>
      <c r="U11">
        <v>0</v>
      </c>
    </row>
    <row r="12" spans="1:21" x14ac:dyDescent="0.2">
      <c r="A12" s="13">
        <v>6.9</v>
      </c>
      <c r="B12" s="4" t="str">
        <v>Tier 2</v>
      </c>
      <c r="C12" s="4" t="str">
        <v>apply-now</v>
      </c>
      <c r="D12" t="str">
        <v>The Bridge Residency - Fall 26</v>
      </c>
      <c r="E12" t="str">
        <v>San Francisco Bay Area, USA</v>
      </c>
      <c r="F12" t="str">
        <v>residency</v>
      </c>
      <c r="G12" s="4" t="str">
        <v>OPEN</v>
      </c>
      <c r="H12" s="14">
        <v>46264</v>
      </c>
      <c r="I12" s="15">
        <v>16</v>
      </c>
      <c r="J12" s="55">
        <v>3000000</v>
      </c>
      <c r="K12" t="str">
        <v>Not stated on the application form</v>
      </c>
      <c r="L12" t="str">
        <v>EXPLICITLY SOLO-FRIENDLY. The application form states verbatim: "You don't need to have a cofounder or an idea to apply". EF's model is talent-first: participants arrive pre-team and form teams inside the programme.</v>
      </c>
      <c r="M12" t="b">
        <v>0</v>
      </c>
      <c r="N12" t="str">
        <v>STAGE ONE IS UNDER 30 MINUTES - the visible form is only name, email, phone and LinkedIn. EF's later stages are typically long-form with an interview and a technical assessment; budget 5-8 hours across the full funnel. No video required at stage one.</v>
      </c>
      <c r="O12" t="str">
        <v>Live and build in a dedicated Bay Area hacker house for 8 weeks. "San Francisco - The Bay Area". Visa support offered per EF's programme materials.</v>
      </c>
      <c r="P12" t="str">
        <v>none</v>
      </c>
      <c r="Q12" t="str">
        <v>https://apply.joinef.com/app/san-francisco-thebridge-fall/</v>
      </c>
      <c r="R12" t="str">
        <v>Closes in 16 days on an open form. Forms are editable; file and refine.</v>
      </c>
      <c r="S12" t="str">
        <v>Not started</v>
      </c>
      <c r="T12" s="2">
        <v>0</v>
      </c>
      <c r="U12">
        <v>0</v>
      </c>
    </row>
    <row r="13" spans="1:21" x14ac:dyDescent="0.2">
      <c r="A13" s="13">
        <v>5.54</v>
      </c>
      <c r="B13" s="4" t="str">
        <v>Tier 3</v>
      </c>
      <c r="C13" s="4" t="str">
        <v>apply-now</v>
      </c>
      <c r="D13" t="str">
        <v>Entrepreneur First - The Bridge Residency (Fall 2026) and XF2 Experienced Founders (London)</v>
      </c>
      <c r="E13" t="str">
        <v>US (San Francisco Bay Area) for The Bridge; UK (London) for XF2</v>
      </c>
      <c r="F13" t="str">
        <v>residency</v>
      </c>
      <c r="G13" s="4" t="str">
        <v>OPEN</v>
      </c>
      <c r="H13" s="14">
        <v>46264</v>
      </c>
      <c r="I13" s="15">
        <v>16</v>
      </c>
      <c r="J13" s="55">
        <v>0</v>
      </c>
      <c r="K13" t="str">
        <v>Not published for The Bridge Residency specifically. XF2 terms not published.</v>
      </c>
      <c r="L13" t="str">
        <v>Solo-first - participants arrive "pre-team, pre-idea".</v>
      </c>
      <c r="M13" t="b">
        <v>0</v>
      </c>
      <c r="N13" t="str">
        <v>~3-5 hours plus interviews</v>
      </c>
      <c r="O13" t="str">
        <v>The Bridge: live in a dedicated Hacker House in the Bay Area for eight weeks; EF provides housing, board and visa support. XF2: London.</v>
      </c>
      <c r="P13" t="str">
        <v>none</v>
      </c>
      <c r="Q13" t="str">
        <v>https://apply.joinef.com/</v>
      </c>
      <c r="R13" t="str">
        <v>Closes in 16 days on an open form. Forms are editable; file and refine.</v>
      </c>
      <c r="S13" t="str">
        <v>Not started</v>
      </c>
      <c r="T13" s="2">
        <v>0</v>
      </c>
      <c r="U13">
        <v>0</v>
      </c>
    </row>
    <row r="14" spans="1:21" x14ac:dyDescent="0.2">
      <c r="A14" s="13">
        <v>6.94</v>
      </c>
      <c r="B14" s="4" t="str">
        <v>Tier 2</v>
      </c>
      <c r="C14" s="4" t="str">
        <v>apply-now</v>
      </c>
      <c r="D14" t="str">
        <v>Google for Startups Accelerator: Middle East, North Africa and Turkey</v>
      </c>
      <c r="E14" t="str">
        <v>MENA + Turkey</v>
      </c>
      <c r="F14" t="str">
        <v>accelerator</v>
      </c>
      <c r="G14" s="4" t="str">
        <v>OPEN</v>
      </c>
      <c r="H14" s="14">
        <v>46265</v>
      </c>
      <c r="I14" s="15">
        <v>17</v>
      </c>
      <c r="J14" s="55">
        <v>0</v>
      </c>
      <c r="K14" t="str">
        <v>Equity-free. Google takes nothing.</v>
      </c>
      <c r="L14" t="str">
        <v>No team-size bar. The only team condition is "Commitment from CTO and/or technical roles to participate and engage in required program sessions" - the founder is both CEO and the technical builder, so one person satisfies it.</v>
      </c>
      <c r="M14" t="b">
        <v>0</v>
      </c>
      <c r="N14" t="str">
        <v>2-4 hours. Standard Google accelerator form. No video and no references required.</v>
      </c>
      <c r="O14" t="str">
        <v>No matches</v>
      </c>
      <c r="P14" t="str">
        <v>null</v>
      </c>
      <c r="Q14" t="str">
        <v>https://startup.google.com/programs/accelerator/middle-east-north-africa-turkey/</v>
      </c>
      <c r="R14" t="str">
        <v>Closes in 17 days on an open form. Forms are editable; file and refine.</v>
      </c>
      <c r="S14" t="str">
        <v>Not started</v>
      </c>
      <c r="T14" s="2">
        <v>0</v>
      </c>
      <c r="U14">
        <v>0</v>
      </c>
    </row>
    <row r="15" spans="1:21" x14ac:dyDescent="0.2">
      <c r="A15" s="13">
        <v>6.8</v>
      </c>
      <c r="B15" s="4" t="str">
        <v>Tier 2</v>
      </c>
      <c r="C15" s="4" t="str">
        <v>apply-now</v>
      </c>
      <c r="D15" t="str">
        <v>NYC AI Nexus ‚Äî Fall 2026 cohort</v>
      </c>
      <c r="E15" t="str">
        <v>US ‚Äî New York City</v>
      </c>
      <c r="F15" t="str">
        <v>accelerator</v>
      </c>
      <c r="G15" s="4" t="str">
        <v>OPEN</v>
      </c>
      <c r="H15" s="14">
        <v>46265</v>
      </c>
      <c r="I15" s="15">
        <v>17</v>
      </c>
      <c r="J15" s="55">
        <v>0</v>
      </c>
      <c r="K15" t="str">
        <v>Core Accelerator: 1‚Äì2% advisory shares. Separate Build Track: 15‚Äì50% founder stock.</v>
      </c>
      <c r="L15" t="str">
        <v>Page invites 'individuals or teams' ‚Äî no team requirement stated</v>
      </c>
      <c r="M15" t="b">
        <v>0</v>
      </c>
      <c r="N15" t="str">
        <v>~2 hours</v>
      </c>
      <c r="O15" t="str">
        <v>'At least one member of the team must be based in NYC or be able to commute to NYC once per week for cohort programming'</v>
      </c>
      <c r="P15" t="str">
        <v>none</v>
      </c>
      <c r="Q15" t="str">
        <v>https://www.c10labs.com/apply</v>
      </c>
      <c r="R15" t="str">
        <v>Closes in 17 days on an open form. Forms are editable; file and refine.</v>
      </c>
      <c r="S15" t="str">
        <v>Not started</v>
      </c>
      <c r="T15" s="2">
        <v>0</v>
      </c>
      <c r="U15">
        <v>0</v>
      </c>
    </row>
    <row r="16" spans="1:21" x14ac:dyDescent="0.2">
      <c r="A16" s="13">
        <v>6.29</v>
      </c>
      <c r="B16" s="4" t="str">
        <v>Tier 2</v>
      </c>
      <c r="C16" s="4" t="str">
        <v>apply-now</v>
      </c>
      <c r="D16" t="str">
        <v>Barclays Eagle Labs ‚Äî Funding Readiness Programme</v>
      </c>
      <c r="E16" t="str">
        <v>UK</v>
      </c>
      <c r="F16" t="str">
        <v>non-dilutive scheme</v>
      </c>
      <c r="G16" s="4" t="str">
        <v>OPEN</v>
      </c>
      <c r="H16" s="14">
        <v>46265</v>
      </c>
      <c r="I16" s="15">
        <v>17</v>
      </c>
      <c r="J16" s="55">
        <v>0</v>
      </c>
      <c r="K16" t="str">
        <v>None ‚Äî equity-free and free to participate.</v>
      </c>
      <c r="L16" t="str">
        <v>Not stated. No team requirement published.</v>
      </c>
      <c r="M16" t="b">
        <v>0</v>
      </c>
      <c r="N16" t="str">
        <v>~1h, but you must first join the Eagle Labs Community platform to apply ‚Äî an account-creation step, not just a form.</v>
      </c>
      <c r="O16" t="str">
        <v>UK businesses. Mix of virtual and in-person.</v>
      </c>
      <c r="P16">
        <v>0</v>
      </c>
      <c r="Q16" t="str">
        <v>https://labs.uk.barclays/what-we-offer/our-programmes/eagle-labs-funding-readiness-programme/</v>
      </c>
      <c r="R16" t="str">
        <v>Closes in 17 days on an open form. Forms are editable; file and refine.</v>
      </c>
      <c r="S16" t="str">
        <v>Not started</v>
      </c>
      <c r="T16" s="2">
        <v>0</v>
      </c>
      <c r="U16">
        <v>0</v>
      </c>
    </row>
    <row r="17" spans="1:21" x14ac:dyDescent="0.2">
      <c r="A17" s="13">
        <v>6.18</v>
      </c>
      <c r="B17" s="4" t="str">
        <v>Tier 2</v>
      </c>
      <c r="C17" s="4" t="str">
        <v>apply-now</v>
      </c>
      <c r="D17" t="str">
        <v>German Accelerator - Kickstart (Scaling Clarity and Global Expansion Strategy)</v>
      </c>
      <c r="E17" t="str">
        <v>Germany (next cohort in Marburg); the programmes target international expansion</v>
      </c>
      <c r="F17" t="str">
        <v>accelerator</v>
      </c>
      <c r="G17" s="4" t="str">
        <v>OPEN</v>
      </c>
      <c r="H17" s="14">
        <v>46265</v>
      </c>
      <c r="I17" s="15">
        <v>17</v>
      </c>
      <c r="J17" s="55">
        <v>0</v>
      </c>
      <c r="K17" t="str">
        <v>Equity-free</v>
      </c>
      <c r="L17" t="str">
        <v>Not stated</v>
      </c>
      <c r="M17" t="b">
        <v>0</v>
      </c>
      <c r="N17" t="str">
        <v>Pitch deck plus written answers on vision, market fit and current growth stage</v>
      </c>
      <c r="O17" t="str">
        <v>You need to be based in Germany. A German legal entity is described as beneficial but not required - EXIST-funded startups still forming a GmbH are explicitly welcome to apply.</v>
      </c>
      <c r="P17" t="str">
        <v>null</v>
      </c>
      <c r="Q17" t="str">
        <v>https://www.germanaccelerator.com/our-programs/kickstart</v>
      </c>
      <c r="R17" t="str">
        <v>Closes in 17 days on an open form. Forms are editable; file and refine.</v>
      </c>
      <c r="S17" t="str">
        <v>Not started</v>
      </c>
      <c r="T17" s="2">
        <v>0</v>
      </c>
      <c r="U17">
        <v>0</v>
      </c>
    </row>
    <row r="18" spans="1:21" x14ac:dyDescent="0.2">
      <c r="A18" s="13">
        <v>6.02</v>
      </c>
      <c r="B18" s="4" t="str">
        <v>Tier 2</v>
      </c>
      <c r="C18" s="4" t="str">
        <v>apply-now</v>
      </c>
      <c r="D18" t="str">
        <v>Slush Startup Stage</v>
      </c>
      <c r="E18" t="str">
        <v>Finland (Helsinki), global entry</v>
      </c>
      <c r="F18" t="str">
        <v>founder community</v>
      </c>
      <c r="G18" s="4" t="str">
        <v>OPEN</v>
      </c>
      <c r="H18" s="14">
        <v>46265</v>
      </c>
      <c r="I18" s="15">
        <v>17</v>
      </c>
      <c r="J18" s="55">
        <v>0</v>
      </c>
      <c r="K18" t="str">
        <v>None.</v>
      </c>
      <c r="L18" t="str">
        <v>No team-size requirement published.</v>
      </c>
      <c r="M18" t="b">
        <v>0</v>
      </c>
      <c r="N18" t="str">
        <v>Typeform, likely 1-2 hours.</v>
      </c>
      <c r="O18" t="str">
        <v>Helsinki attendance for the slot.</v>
      </c>
      <c r="P18" t="str">
        <v>none</v>
      </c>
      <c r="Q18" t="str">
        <v>https://slush.typeform.com/to/ZZtRWeVd</v>
      </c>
      <c r="R18" t="str">
        <v>Closes in 17 days on an open form. Forms are editable; file and refine.</v>
      </c>
      <c r="S18" t="str">
        <v>Not started</v>
      </c>
      <c r="T18" s="2">
        <v>0</v>
      </c>
      <c r="U18">
        <v>0</v>
      </c>
    </row>
    <row r="19" spans="1:21" x14ac:dyDescent="0.2">
      <c r="A19" s="13">
        <v>7.29</v>
      </c>
      <c r="B19" s="4" t="str">
        <v>Tier 1</v>
      </c>
      <c r="C19" s="4" t="str">
        <v>apply-now</v>
      </c>
      <c r="D19" t="str">
        <v>Solo Founders Program (SFP) - Fall 2026</v>
      </c>
      <c r="E19" t="str">
        <v>US (San Francisco)</v>
      </c>
      <c r="F19" t="str">
        <v>accelerator</v>
      </c>
      <c r="G19" s="4" t="str">
        <v>OPEN</v>
      </c>
      <c r="H19" s="14">
        <v>46266</v>
      </c>
      <c r="I19" s="15">
        <v>18</v>
      </c>
      <c r="J19" s="55">
        <v>100000</v>
      </c>
      <c r="K19" t="str">
        <v>$100K for 2.5% equity (uncapped MFN SAFE structure). Verified on the programme page 2026-08-14.</v>
      </c>
      <c r="L19" t="str">
        <v>Purpose-built for solo founders - this is the entire thesis. "If you're already solo, you're early."</v>
      </c>
      <c r="M19" t="b">
        <v>0</v>
      </c>
      <c r="N19" t="str">
        <v>~2-3 hours plus interview. Rolling review.</v>
      </c>
      <c r="O19" t="str">
        <v>No matches</v>
      </c>
      <c r="P19" t="str">
        <v>none</v>
      </c>
      <c r="Q19" t="str">
        <v>https://solofounders.com/program</v>
      </c>
      <c r="R19" t="str">
        <v>Closes in 18 days on an open form. Forms are editable; file and refine.</v>
      </c>
      <c r="S19" t="str">
        <v>Not started</v>
      </c>
      <c r="T19" s="2">
        <v>0</v>
      </c>
      <c r="U19">
        <v>0</v>
      </c>
    </row>
    <row r="20" spans="1:21" x14ac:dyDescent="0.2">
      <c r="A20" s="13">
        <v>5.93</v>
      </c>
      <c r="B20" s="4" t="str">
        <v>Tier 3</v>
      </c>
      <c r="C20" s="4" t="str">
        <v>apply-now</v>
      </c>
      <c r="D20" t="str">
        <v>Founder Institute ‚Äî Nordics Fall 2026</v>
      </c>
      <c r="E20" t="str">
        <v>Nordics (Stockholm-led, hybrid)</v>
      </c>
      <c r="F20" t="str">
        <v>accelerator</v>
      </c>
      <c r="G20" s="4" t="str">
        <v>OPEN</v>
      </c>
      <c r="H20" s="14">
        <v>46266</v>
      </c>
      <c r="I20" s="15">
        <v>18</v>
      </c>
      <c r="J20" s="55">
        <v>0</v>
      </c>
      <c r="K20" t="str">
        <v>Paid: 'Early Entrance Fee $799' (regular $1299). FI historically also takes a small equity/warrant stake ‚Äî verify in phase 2.</v>
      </c>
      <c r="L20" t="str">
        <v>Built for individual founders; the form's stage options run from 'Entrepreneur with just an idea/Aspiring Entrepreneur' upward.</v>
      </c>
      <c r="M20" t="b">
        <v>0</v>
      </c>
      <c r="N20" t="str">
        <v>~1-2 hours.</v>
      </c>
      <c r="O20" t="str">
        <v>Hybrid, Nordics-based sessions. Verify whether the in-person requirement can be met remotely from Bangalore.</v>
      </c>
      <c r="P20" t="str">
        <v>none</v>
      </c>
      <c r="Q20" t="str">
        <v>https://fi.co/join</v>
      </c>
      <c r="R20" t="str">
        <v>Closes in 18 days on an open form. Forms are editable; file and refine.</v>
      </c>
      <c r="S20" t="str">
        <v>Not started</v>
      </c>
      <c r="T20" s="2">
        <v>0</v>
      </c>
      <c r="U20">
        <v>0</v>
      </c>
    </row>
    <row r="21" spans="1:21" x14ac:dyDescent="0.2">
      <c r="A21" s="13">
        <v>5.29</v>
      </c>
      <c r="B21" s="4" t="str">
        <v>Tier 3</v>
      </c>
      <c r="C21" s="4" t="str">
        <v>apply-now</v>
      </c>
      <c r="D21" t="str">
        <v>AI Launchpad Batch 4</v>
      </c>
      <c r="E21" t="str">
        <v>Europe ‚Äî 6 to 10 local hubs</v>
      </c>
      <c r="F21" t="str">
        <v>accelerator</v>
      </c>
      <c r="G21" s="4" t="str">
        <v>OPEN</v>
      </c>
      <c r="H21" s="14">
        <v>46266</v>
      </c>
      <c r="I21" s="15">
        <v>18</v>
      </c>
      <c r="J21" s="55">
        <v>0</v>
      </c>
      <c r="K21" t="str">
        <v>Not published</v>
      </c>
      <c r="L21" t="str">
        <v>Not addressed</v>
      </c>
      <c r="M21" t="b">
        <v>0</v>
      </c>
      <c r="N21" t="str">
        <v>Low ‚Äî a pitch deck plus a 1-minute video</v>
      </c>
      <c r="O21" t="str">
        <v>Apply to one of the local European hubs for a 12-week immersion</v>
      </c>
      <c r="P21" t="str">
        <v>none</v>
      </c>
      <c r="Q21" t="str">
        <v>https://elias-ai.eu/ai-launchpad/</v>
      </c>
      <c r="R21" t="str">
        <v>Closes in 18 days on an open form. Forms are editable; file and refine.</v>
      </c>
      <c r="S21" t="str">
        <v>Not started</v>
      </c>
      <c r="T21" s="2">
        <v>0</v>
      </c>
      <c r="U21">
        <v>0</v>
      </c>
    </row>
    <row r="22" spans="1:21" x14ac:dyDescent="0.2">
      <c r="A22" s="13">
        <v>6.4</v>
      </c>
      <c r="B22" s="4" t="str">
        <v>Tier 2</v>
      </c>
      <c r="C22" s="4" t="str">
        <v>apply-now</v>
      </c>
      <c r="D22" t="str">
        <v>Innovate UK open competitions (Innovation Funding Service)</v>
      </c>
      <c r="E22" t="str">
        <v>UK</v>
      </c>
      <c r="F22" t="str">
        <v>grant</v>
      </c>
      <c r="G22" s="4" t="str">
        <v>OPEN</v>
      </c>
      <c r="H22" s="14">
        <v>46268</v>
      </c>
      <c r="I22" s="15">
        <v>20</v>
      </c>
      <c r="J22" s="55">
        <v>2540000</v>
      </c>
      <c r="K22" t="str">
        <v>NON-DILUTIVE grant funding. No equity.</v>
      </c>
      <c r="L22" t="str">
        <v>Not applicable ‚Äî grants are awarded to companies, not founders.</v>
      </c>
      <c r="M22" t="b">
        <v>1</v>
      </c>
      <c r="N22" t="str">
        <v>20‚Äì40h per competition. Long-form technical and financial documents with detailed project plans and costings; no video.</v>
      </c>
      <c r="O22" t="str">
        <v>"All applicants must be UK-registered companies and carry out their project activities in the UK."</v>
      </c>
      <c r="P22">
        <v>0</v>
      </c>
      <c r="Q22" t="str">
        <v>https://apply-for-innovation-funding.service.gov.uk/competition/search</v>
      </c>
      <c r="R22" t="str">
        <v>Closes in 20 days on an open form. Forms are editable; file and refine.</v>
      </c>
      <c r="S22" t="str">
        <v>Not started</v>
      </c>
      <c r="T22" s="2">
        <v>0</v>
      </c>
      <c r="U22">
        <v>0</v>
      </c>
    </row>
    <row r="23" spans="1:21" x14ac:dyDescent="0.2">
      <c r="A23" s="13">
        <v>5.94</v>
      </c>
      <c r="B23" s="4" t="str">
        <v>Tier 3</v>
      </c>
      <c r="C23" s="4" t="str">
        <v>apply-now</v>
      </c>
      <c r="D23" t="str">
        <v>AceON Accelerator Batch #6</v>
      </c>
      <c r="E23" t="str">
        <v>Europe ‚Äî CEE-based, fully online</v>
      </c>
      <c r="F23" t="str">
        <v>accelerator</v>
      </c>
      <c r="G23" s="4" t="str">
        <v>OPEN</v>
      </c>
      <c r="H23" s="14">
        <v>46268</v>
      </c>
      <c r="I23" s="15">
        <v>20</v>
      </c>
      <c r="J23" s="55">
        <v>0</v>
      </c>
      <c r="K23" t="str">
        <v>Free programme; investment terms not published</v>
      </c>
      <c r="L23" t="str">
        <v>Not addressed; industry-agnostic and accepts idea-stage</v>
      </c>
      <c r="M23" t="b">
        <v>0</v>
      </c>
      <c r="N23" t="str">
        <v>~1 hour online application</v>
      </c>
      <c r="O23" t="str">
        <v>'Fully online, with evening lectures' ‚Äî no relocation</v>
      </c>
      <c r="P23" t="str">
        <v>none</v>
      </c>
      <c r="Q23" t="str">
        <v>https://www.aceon.io/program</v>
      </c>
      <c r="R23" t="str">
        <v>Closes in 20 days on an open form. Forms are editable; file and refine.</v>
      </c>
      <c r="S23" t="str">
        <v>Not started</v>
      </c>
      <c r="T23" s="2">
        <v>0</v>
      </c>
      <c r="U23">
        <v>0</v>
      </c>
    </row>
    <row r="24" spans="1:21" x14ac:dyDescent="0.2">
      <c r="A24" s="13">
        <v>7.02</v>
      </c>
      <c r="B24" s="4" t="str">
        <v>Tier 1</v>
      </c>
      <c r="C24" s="4" t="str">
        <v>apply-now</v>
      </c>
      <c r="D24" t="str">
        <v>AltaLab - Fall 2026</v>
      </c>
      <c r="E24" t="str">
        <v>Global - online sprint then residency</v>
      </c>
      <c r="F24" t="str">
        <v>accelerator</v>
      </c>
      <c r="G24" s="4" t="str">
        <v>OPEN</v>
      </c>
      <c r="H24" s="14">
        <v>46269</v>
      </c>
      <c r="I24" s="15">
        <v>21</v>
      </c>
      <c r="J24" s="55">
        <v>500000</v>
      </c>
      <c r="K24" t="str">
        <v>"Participation at every stage starting from Founder Residency involves advisory options" - i.e. equity-linked advisory terms. Details are in their FAQ and must be read before filing.</v>
      </c>
      <c r="L24" t="str">
        <v>The FAQ carries a "Do I need a co-founder?" entry but the answer was not captured. Must be confirmed.</v>
      </c>
      <c r="M24" t="b">
        <v>0</v>
      </c>
      <c r="N24" t="str">
        <v>~2 hours via Tally form.</v>
      </c>
      <c r="O24" t="str">
        <v>Stage 1 is online. Residency stage location is not published in the retrieved extract and must be confirmed.</v>
      </c>
      <c r="P24" t="str">
        <v>none</v>
      </c>
      <c r="Q24" t="str">
        <v>https://tally.so/r/xXBpq9</v>
      </c>
      <c r="R24" t="str">
        <v>Closes in 21 days on an open form. Forms are editable; file and refine.</v>
      </c>
      <c r="S24" t="str">
        <v>Not started</v>
      </c>
      <c r="T24" s="2">
        <v>0</v>
      </c>
      <c r="U24">
        <v>0</v>
      </c>
    </row>
    <row r="25" spans="1:21" x14ac:dyDescent="0.2">
      <c r="A25" s="13">
        <v>6.21</v>
      </c>
      <c r="B25" s="4" t="str">
        <v>Tier 2</v>
      </c>
      <c r="C25" s="4" t="str">
        <v>apply-now</v>
      </c>
      <c r="D25" t="str">
        <v>BITSoM VERTEX / Builders Pitch Fest 2026</v>
      </c>
      <c r="E25" t="str">
        <v>India / Mumbai</v>
      </c>
      <c r="F25" t="str">
        <v>incubator</v>
      </c>
      <c r="G25" s="4" t="str">
        <v>OPEN</v>
      </c>
      <c r="H25" s="14">
        <v>46271</v>
      </c>
      <c r="I25" s="15">
        <v>23</v>
      </c>
      <c r="J25" s="55">
        <v>0</v>
      </c>
      <c r="K25" t="str">
        <v>Unresolved by design. FAQ: "Does BITSoM Vertex take equity? Details on equity, if any, will be shared with selected startups." Application itself is free: "Applying to BITSoM Vertex is free."</v>
      </c>
      <c r="L25" t="str">
        <v>No matches</v>
      </c>
      <c r="M25" t="b">
        <v>0</v>
      </c>
      <c r="N25" t="str">
        <v>Roughly 2-4 hours for the Stage 1 form on Hack2Skill. Free. No video or references stated on the portal. The real cost is the 5-week Online Venture Sprint (5 Aug - 6 Sep) and the mandatory 3-day Mumbai Pitch Fest.</v>
      </c>
      <c r="O25" t="str">
        <v>No matches</v>
      </c>
      <c r="P25" t="str">
        <v>null</v>
      </c>
      <c r="Q25" t="str">
        <v>https://hack2skill.com/event/bitsom-pitchfest2026/</v>
      </c>
      <c r="R25" t="str">
        <v>Worth the hours once the closing set is filed.</v>
      </c>
      <c r="S25" t="str">
        <v>Not started</v>
      </c>
      <c r="T25" s="2">
        <v>0</v>
      </c>
      <c r="U25">
        <v>0</v>
      </c>
    </row>
    <row r="26" spans="1:21" x14ac:dyDescent="0.2">
      <c r="A26" s="13">
        <v>7.02</v>
      </c>
      <c r="B26" s="4" t="str">
        <v>Tier 1</v>
      </c>
      <c r="C26" s="4" t="str">
        <v>apply-now</v>
      </c>
      <c r="D26" t="str">
        <v>Slush 100 Startup Competition</v>
      </c>
      <c r="E26" t="str">
        <v>Finland (Helsinki), global entry</v>
      </c>
      <c r="F26" t="str">
        <v>grant</v>
      </c>
      <c r="G26" s="4" t="str">
        <v>OPEN</v>
      </c>
      <c r="H26" s="14">
        <v>46272</v>
      </c>
      <c r="I26" s="15">
        <v>24</v>
      </c>
      <c r="J26" s="55">
        <v>545000</v>
      </c>
      <c r="K26" t="str">
        <v>Equity-free.</v>
      </c>
      <c r="L26" t="str">
        <v>No team-size requirement published.</v>
      </c>
      <c r="M26" t="b">
        <v>1</v>
      </c>
      <c r="N26" t="str">
        <v>~3-5 hours via the Slush platform. Verify whether a video is required in phase 2.</v>
      </c>
      <c r="O26" t="str">
        <v>'The competition does not have a geographical exclusion.' Attendance in Helsinki required for the competition itself.</v>
      </c>
      <c r="P26" t="str">
        <v>none</v>
      </c>
      <c r="Q26" t="str">
        <v>https://platform.slush.org/public/slush26/activities/launch?side_event_id=9e8289e3-c313-444e-8eea-cf9061d0c28d</v>
      </c>
      <c r="R26" t="str">
        <v>High expected value and the odds are real.</v>
      </c>
      <c r="S26" t="str">
        <v>Not started</v>
      </c>
      <c r="T26" s="2">
        <v>0</v>
      </c>
      <c r="U26">
        <v>0</v>
      </c>
    </row>
    <row r="27" spans="1:21" x14ac:dyDescent="0.2">
      <c r="A27" s="13">
        <v>6.1</v>
      </c>
      <c r="B27" s="4" t="str">
        <v>Tier 2</v>
      </c>
      <c r="C27" s="4" t="str">
        <v>apply-now</v>
      </c>
      <c r="D27" t="str">
        <v>Founder Institute - Silicon Valley Fall 2026 (FI Agentic Program)</v>
      </c>
      <c r="E27" t="str">
        <v>Silicon Valley, USA - run 100% online</v>
      </c>
      <c r="F27" t="str">
        <v>accelerator</v>
      </c>
      <c r="G27" s="4" t="str">
        <v>OPEN</v>
      </c>
      <c r="H27" s="14">
        <v>46273</v>
      </c>
      <c r="I27" s="15">
        <v>25</v>
      </c>
      <c r="J27" s="55">
        <v>0</v>
      </c>
      <c r="K27" t="str">
        <v>Entrance fee $1,199 early (from $1,649). Founder Institute historically takes a warrant; equity terms not stated on this page.</v>
      </c>
      <c r="L27" t="str">
        <v>OPC directory records 'Solo ‚úì'. Page lists eligible applicants from 'Entrepreneur with just an idea/Aspiring Entrepreneur' through 'Later-Stage Entrepreneur (Seed+)'.</v>
      </c>
      <c r="M27" t="b">
        <v>0</v>
      </c>
      <c r="N27" t="str">
        <v>Short form. Budget under 1h.</v>
      </c>
      <c r="O27" t="str">
        <v>None. Page states 'Fully Virtual' and 'This program will be run 100% online'.</v>
      </c>
      <c r="P27" t="str">
        <v>none identified</v>
      </c>
      <c r="Q27" t="str">
        <v>https://fi.co/join</v>
      </c>
      <c r="R27" t="str">
        <v>Worth the hours once the closing set is filed.</v>
      </c>
      <c r="S27" t="str">
        <v>Not started</v>
      </c>
      <c r="T27" s="2">
        <v>0</v>
      </c>
      <c r="U27">
        <v>0</v>
      </c>
    </row>
    <row r="28" spans="1:21" x14ac:dyDescent="0.2">
      <c r="A28" s="13">
        <v>7.1</v>
      </c>
      <c r="B28" s="4" t="str">
        <v>Tier 1</v>
      </c>
      <c r="C28" s="4" t="str">
        <v>apply-now</v>
      </c>
      <c r="D28" t="str">
        <v>Start it @KBC ‚Äî Fall 2026</v>
      </c>
      <c r="E28" t="str">
        <v>Belgium (Antwerp, Brussels, Ghent, Hasselt, Leuven, Kortrijk)</v>
      </c>
      <c r="F28" t="str">
        <v>accelerator</v>
      </c>
      <c r="G28" s="4" t="str">
        <v>OPEN</v>
      </c>
      <c r="H28" s="14">
        <v>46279</v>
      </c>
      <c r="I28" s="15">
        <v>31</v>
      </c>
      <c r="J28" s="55">
        <v>327000</v>
      </c>
      <c r="K28" t="str">
        <v>'FREE' and '100% no strings attached' ‚Äî 'we don't ask for shares, money or special privileges.' Equity only if the separate Start it Fund invests.</v>
      </c>
      <c r="L28" t="str">
        <v>No team-size requirement published. The page states they seek 'enthusiastic &amp; open-minded founders of all backgrounds, genders, ages and nationalities.'</v>
      </c>
      <c r="M28" t="b">
        <v>0</v>
      </c>
      <c r="N28" t="str">
        <v>AcceleratorApp form, est. 3-5 hours.</v>
      </c>
      <c r="O28" t="str">
        <v>Belgium hubs plus Budapest and a New York presence. 24h/month commitment implies regular presence; whether that can be remote is unverified.</v>
      </c>
      <c r="P28" t="str">
        <v>none</v>
      </c>
      <c r="Q28" t="str">
        <v>https://startit.acceleratorapp.co/apply/program/1-year-program-start-it-fall-2026</v>
      </c>
      <c r="R28" t="str">
        <v>High expected value and the odds are real.</v>
      </c>
      <c r="S28" t="str">
        <v>Not started</v>
      </c>
      <c r="T28" s="2">
        <v>0</v>
      </c>
      <c r="U28">
        <v>0</v>
      </c>
    </row>
    <row r="29" spans="1:21" x14ac:dyDescent="0.2">
      <c r="A29" s="13">
        <v>6.45</v>
      </c>
      <c r="B29" s="4" t="str">
        <v>Tier 2</v>
      </c>
      <c r="C29" s="4" t="str">
        <v>apply-now</v>
      </c>
      <c r="D29" t="str">
        <v>R[3]sidency √ó Construct</v>
      </c>
      <c r="E29" t="str">
        <v>Europe ‚Äî London</v>
      </c>
      <c r="F29" t="str">
        <v>accelerator</v>
      </c>
      <c r="G29" s="4" t="str">
        <v>OPEN</v>
      </c>
      <c r="H29" s="14">
        <v>46280</v>
      </c>
      <c r="I29" s="15">
        <v>32</v>
      </c>
      <c r="J29" s="55">
        <v>300000</v>
      </c>
      <c r="K29" t="str">
        <v>Not published in the announcement</v>
      </c>
      <c r="L29" t="str">
        <v>Not addressed; accepts founders 'at any stage: idea phase, have an MVP or live product'</v>
      </c>
      <c r="M29" t="b">
        <v>0</v>
      </c>
      <c r="N29" t="str">
        <v>~2-3 hours</v>
      </c>
      <c r="O29" t="str">
        <v>'Willing to co-work IRL in London for all or part of the program' ‚Äî the 'or part' is the opening</v>
      </c>
      <c r="P29" t="str">
        <v>none</v>
      </c>
      <c r="Q29" t="str">
        <v>https://r3sidency.fabric.vc/</v>
      </c>
      <c r="R29" t="str">
        <v>Worth the hours once the closing set is filed.</v>
      </c>
      <c r="S29" t="str">
        <v>Not started</v>
      </c>
      <c r="T29" s="2">
        <v>0</v>
      </c>
      <c r="U29">
        <v>0</v>
      </c>
    </row>
    <row r="30" spans="1:21" x14ac:dyDescent="0.2">
      <c r="A30" s="13">
        <v>6.07</v>
      </c>
      <c r="B30" s="4" t="str">
        <v>Tier 2</v>
      </c>
      <c r="C30" s="4" t="str">
        <v>apply-now</v>
      </c>
      <c r="D30" t="str">
        <v>Founders Foundation Startup School</v>
      </c>
      <c r="E30" t="str">
        <v>Germany (Bielefeld, Ostwestfalen-Lippe)</v>
      </c>
      <c r="F30" t="str">
        <v>incubator</v>
      </c>
      <c r="G30" s="4" t="str">
        <v>OPEN</v>
      </c>
      <c r="H30" s="14">
        <v>46285</v>
      </c>
      <c r="I30" s="15">
        <v>37</v>
      </c>
      <c r="J30" s="55">
        <v>0</v>
      </c>
      <c r="K30" t="str">
        <v>The page states costs of 0 EUR, and the organisation's stated principle is no equity, people first</v>
      </c>
      <c r="L30" t="str">
        <v>Explicitly open to individuals: single talents with an entrepreneurial mindset are listed as a target alongside teams, and the programme is aimed partly at people still looking for co-founders</v>
      </c>
      <c r="M30" t="b">
        <v>0</v>
      </c>
      <c r="N30" t="str">
        <v>Short online form covering motivation, background and any business idea, then an online motivation conversation. No video, no references.</v>
      </c>
      <c r="O30" t="str">
        <v>Hybrid - most sessions online, with the kick-off and final Pitch Day in person in Bielefeld</v>
      </c>
      <c r="P30" t="str">
        <v>null</v>
      </c>
      <c r="Q30" t="str">
        <v>https://foundersfoundation.de/gruenden-in-owl/startup-school/</v>
      </c>
      <c r="R30" t="str">
        <v>Worth the hours once the closing set is filed.</v>
      </c>
      <c r="S30" t="str">
        <v>Not started</v>
      </c>
      <c r="T30" s="2">
        <v>0</v>
      </c>
      <c r="U30">
        <v>0</v>
      </c>
    </row>
    <row r="31" spans="1:21" x14ac:dyDescent="0.2">
      <c r="A31" s="13">
        <v>6.85</v>
      </c>
      <c r="B31" s="4" t="str">
        <v>Tier 2</v>
      </c>
      <c r="C31" s="4" t="str">
        <v>apply-now</v>
      </c>
      <c r="D31" t="str">
        <v>Character Labs (Fall 2026)</v>
      </c>
      <c r="E31" t="str">
        <v>San Francisco start and end, otherwise online (US Pacific hours)</v>
      </c>
      <c r="F31" t="str">
        <v>accelerator</v>
      </c>
      <c r="G31" s="4" t="str">
        <v>OPEN</v>
      </c>
      <c r="H31" s="14">
        <v>46288</v>
      </c>
      <c r="I31" s="15">
        <v>40</v>
      </c>
      <c r="J31" s="55">
        <v>200000</v>
      </c>
      <c r="K31" t="str">
        <v>5% for $200k</v>
      </c>
      <c r="L31" t="str">
        <v>Accepted with a stated preference against. Verbatim on solo founders: "Technically no, but ideally yes" - they "have a preference for teams for 2-3". A preference, not a bar.</v>
      </c>
      <c r="M31" t="b">
        <v>0</v>
      </c>
      <c r="N31" t="str">
        <v>2-3 hours estimated; applications reviewed in order received with priority to earlier submissions. Form contents not enumerable without submitting an email.</v>
      </c>
      <c r="O31" t="str">
        <v>Starts and ends in person in San Francisco (Oct 27-30 and Nov 23-25); the middle is remote. "all synchronous sessions take place on USA time, roughly 9am to 2pm Pacific Daylight Time"</v>
      </c>
      <c r="P31" t="str">
        <v>none</v>
      </c>
      <c r="Q31" t="str">
        <v>https://contact.character.vc/labs</v>
      </c>
      <c r="R31" t="str">
        <v>Worth the hours once the closing set is filed.</v>
      </c>
      <c r="S31" t="str">
        <v>Not started</v>
      </c>
      <c r="T31" s="2">
        <v>0</v>
      </c>
      <c r="U31">
        <v>0</v>
      </c>
    </row>
    <row r="32" spans="1:21" x14ac:dyDescent="0.2">
      <c r="A32" s="13">
        <v>6.11</v>
      </c>
      <c r="B32" s="4" t="str">
        <v>Tier 2</v>
      </c>
      <c r="C32" s="4" t="str">
        <v>apply-now</v>
      </c>
      <c r="D32" t="str">
        <v>StartupLab Accelerator</v>
      </c>
      <c r="E32" t="str">
        <v>Norway (Oslo)</v>
      </c>
      <c r="F32" t="str">
        <v>accelerator</v>
      </c>
      <c r="G32" s="4" t="str">
        <v>OPEN</v>
      </c>
      <c r="H32" s="14">
        <v>46290</v>
      </c>
      <c r="I32" s="15">
        <v>42</v>
      </c>
      <c r="J32" s="55">
        <v>370600</v>
      </c>
      <c r="K32" t="str">
        <v>Targeted ownership around 10%, described as flexible.</v>
      </c>
      <c r="L32" t="str">
        <v>UNRESOLVED ‚Äî the FAQ literally lists the question 'Do you accept solo founders?' but the answer did not render in the fetch. Worth a direct email in phase 2; the fact that they publish the question at all suggests it is not an automatic no.</v>
      </c>
      <c r="M32" t="b">
        <v>0</v>
      </c>
      <c r="N32" t="str">
        <v>Online form; they shortlist ~30 companies for interview. Est. 4-6 hours.</v>
      </c>
      <c r="O32" t="str">
        <v>Oslo. Norwegian incorporation requirement not stated on the page; note that Innovation Norway separately allows a Norwegian branch of a foreign company (NUF).</v>
      </c>
      <c r="P32" t="str">
        <v>none</v>
      </c>
      <c r="Q32" t="str">
        <v>https://www.startuplab.no/apply/accelerator</v>
      </c>
      <c r="R32" t="str">
        <v>Worth the hours once the closing set is filed.</v>
      </c>
      <c r="S32" t="str">
        <v>Not started</v>
      </c>
      <c r="T32" s="2">
        <v>0</v>
      </c>
      <c r="U32">
        <v>0</v>
      </c>
    </row>
    <row r="33" spans="1:10" x14ac:dyDescent="0.2">
      <c r="J33" s="56"/>
    </row>
    <row r="34" spans="1:10" x14ac:dyDescent="0.2">
      <c r="J34" s="56"/>
    </row>
    <row r="35" spans="1:10" x14ac:dyDescent="0.2">
      <c r="J35" s="56"/>
    </row>
    <row r="36" spans="1:10" x14ac:dyDescent="0.2">
      <c r="J36" s="56"/>
    </row>
    <row r="37" spans="1:10" x14ac:dyDescent="0.2">
      <c r="J37" s="56"/>
    </row>
    <row r="38" spans="1:10" x14ac:dyDescent="0.2">
      <c r="J38" s="56"/>
    </row>
    <row r="39" spans="1:10" x14ac:dyDescent="0.2">
      <c r="J39" s="56"/>
    </row>
    <row r="40" spans="1:10" x14ac:dyDescent="0.2">
      <c r="J40" s="56"/>
    </row>
    <row r="41" spans="1:10" x14ac:dyDescent="0.2">
      <c r="A41" s="4"/>
      <c r="B41" s="4"/>
      <c r="C41" s="4"/>
      <c r="G41" s="4"/>
      <c r="H41" s="4"/>
      <c r="I41" s="4"/>
      <c r="J41" s="55"/>
    </row>
    <row r="42" spans="1:10" x14ac:dyDescent="0.2">
      <c r="A42" s="4"/>
      <c r="B42" s="4"/>
      <c r="C42" s="4"/>
      <c r="G42" s="4"/>
      <c r="H42" s="4"/>
      <c r="I42" s="4"/>
      <c r="J42" s="55"/>
    </row>
    <row r="43" spans="1:10" x14ac:dyDescent="0.2">
      <c r="A43" s="4"/>
      <c r="B43" s="4"/>
      <c r="C43" s="4"/>
      <c r="G43" s="4"/>
      <c r="H43" s="4"/>
      <c r="I43" s="4"/>
      <c r="J43" s="55"/>
    </row>
    <row r="44" spans="1:10" x14ac:dyDescent="0.2">
      <c r="A44" s="4"/>
      <c r="B44" s="4"/>
      <c r="C44" s="4"/>
      <c r="G44" s="4"/>
      <c r="H44" s="4"/>
      <c r="I44" s="4"/>
      <c r="J44" s="55"/>
    </row>
    <row r="45" spans="1:10" x14ac:dyDescent="0.2">
      <c r="A45" s="4"/>
      <c r="B45" s="4"/>
      <c r="C45" s="4"/>
      <c r="G45" s="4"/>
      <c r="H45" s="4"/>
      <c r="I45" s="4"/>
      <c r="J45" s="55"/>
    </row>
    <row r="46" spans="1:10" x14ac:dyDescent="0.2">
      <c r="A46" s="4"/>
      <c r="B46" s="4"/>
      <c r="C46" s="4"/>
      <c r="G46" s="4"/>
      <c r="H46" s="4"/>
      <c r="I46" s="4"/>
      <c r="J46" s="55"/>
    </row>
    <row r="47" spans="1:10" x14ac:dyDescent="0.2">
      <c r="A47" s="4"/>
      <c r="B47" s="4"/>
      <c r="C47" s="4"/>
      <c r="G47" s="4"/>
      <c r="H47" s="4"/>
      <c r="I47" s="4"/>
      <c r="J47" s="55"/>
    </row>
    <row r="48" spans="1:10" x14ac:dyDescent="0.2">
      <c r="A48" s="4"/>
      <c r="B48" s="4"/>
      <c r="C48" s="4"/>
      <c r="G48" s="4"/>
      <c r="H48" s="4"/>
      <c r="I48" s="4"/>
      <c r="J48" s="55"/>
    </row>
    <row r="49" spans="1:10" x14ac:dyDescent="0.2">
      <c r="A49" s="4"/>
      <c r="B49" s="4"/>
      <c r="C49" s="4"/>
      <c r="G49" s="4"/>
      <c r="H49" s="4"/>
      <c r="I49" s="4"/>
      <c r="J49" s="55"/>
    </row>
    <row r="50" spans="1:10" x14ac:dyDescent="0.2">
      <c r="A50" s="4"/>
      <c r="B50" s="4"/>
      <c r="C50" s="4"/>
      <c r="G50" s="4"/>
      <c r="H50" s="4"/>
      <c r="I50" s="4"/>
      <c r="J50" s="55"/>
    </row>
    <row r="51" spans="1:10" x14ac:dyDescent="0.2">
      <c r="A51" s="4"/>
      <c r="B51" s="4"/>
      <c r="C51" s="4"/>
      <c r="G51" s="4"/>
      <c r="H51" s="4"/>
      <c r="I51" s="4"/>
      <c r="J51" s="55"/>
    </row>
    <row r="52" spans="1:10" x14ac:dyDescent="0.2">
      <c r="A52" s="4"/>
      <c r="B52" s="4"/>
      <c r="C52" s="4"/>
      <c r="G52" s="4"/>
      <c r="H52" s="4"/>
      <c r="I52" s="4"/>
      <c r="J52" s="55"/>
    </row>
    <row r="53" spans="1:10" x14ac:dyDescent="0.2">
      <c r="A53" s="4"/>
      <c r="B53" s="4"/>
      <c r="C53" s="4"/>
      <c r="G53" s="4"/>
      <c r="H53" s="4"/>
      <c r="I53" s="4"/>
      <c r="J53" s="55"/>
    </row>
    <row r="54" spans="1:10" x14ac:dyDescent="0.2">
      <c r="A54" s="4"/>
      <c r="B54" s="4"/>
      <c r="C54" s="4"/>
      <c r="G54" s="4"/>
      <c r="H54" s="4"/>
      <c r="I54" s="4"/>
      <c r="J54" s="55"/>
    </row>
    <row r="55" spans="1:10" x14ac:dyDescent="0.2">
      <c r="A55" s="4"/>
      <c r="B55" s="4"/>
      <c r="C55" s="4"/>
      <c r="G55" s="4"/>
      <c r="H55" s="4"/>
      <c r="I55" s="4"/>
      <c r="J55" s="55"/>
    </row>
    <row r="56" spans="1:10" x14ac:dyDescent="0.2">
      <c r="A56" s="4"/>
      <c r="B56" s="4"/>
      <c r="C56" s="4"/>
      <c r="G56" s="4"/>
      <c r="H56" s="4"/>
      <c r="I56" s="4"/>
      <c r="J56" s="55"/>
    </row>
    <row r="57" spans="1:10" x14ac:dyDescent="0.2">
      <c r="A57" s="4"/>
      <c r="B57" s="4"/>
      <c r="C57" s="4"/>
      <c r="G57" s="4"/>
      <c r="H57" s="4"/>
      <c r="I57" s="4"/>
      <c r="J57" s="55"/>
    </row>
    <row r="58" spans="1:10" x14ac:dyDescent="0.2">
      <c r="A58" s="4"/>
      <c r="B58" s="4"/>
      <c r="C58" s="4"/>
      <c r="G58" s="4"/>
      <c r="H58" s="4"/>
      <c r="I58" s="4"/>
      <c r="J58" s="55"/>
    </row>
    <row r="59" spans="1:10" x14ac:dyDescent="0.2">
      <c r="A59" s="4"/>
      <c r="B59" s="4"/>
      <c r="C59" s="4"/>
      <c r="G59" s="4"/>
      <c r="H59" s="4"/>
      <c r="I59" s="4"/>
      <c r="J59" s="55"/>
    </row>
    <row r="60" spans="1:10" x14ac:dyDescent="0.2">
      <c r="A60" s="4"/>
      <c r="B60" s="4"/>
      <c r="C60" s="4"/>
      <c r="G60" s="4"/>
      <c r="H60" s="4"/>
      <c r="I60" s="4"/>
      <c r="J60" s="55"/>
    </row>
    <row r="61" spans="1:10" x14ac:dyDescent="0.2">
      <c r="A61" s="4"/>
      <c r="B61" s="4"/>
      <c r="C61" s="4"/>
      <c r="G61" s="4"/>
      <c r="H61" s="4"/>
      <c r="I61" s="4"/>
      <c r="J61" s="55"/>
    </row>
    <row r="62" spans="1:10" x14ac:dyDescent="0.2">
      <c r="A62" s="4"/>
      <c r="B62" s="4"/>
      <c r="C62" s="4"/>
      <c r="G62" s="4"/>
      <c r="H62" s="4"/>
      <c r="I62" s="4"/>
      <c r="J62" s="55"/>
    </row>
    <row r="63" spans="1:10" x14ac:dyDescent="0.2">
      <c r="A63" s="4"/>
      <c r="B63" s="4"/>
      <c r="C63" s="4"/>
      <c r="G63" s="4"/>
      <c r="H63" s="4"/>
      <c r="I63" s="4"/>
      <c r="J63" s="55"/>
    </row>
    <row r="64" spans="1:10" x14ac:dyDescent="0.2">
      <c r="A64" s="4"/>
      <c r="B64" s="4"/>
      <c r="C64" s="4"/>
      <c r="G64" s="4"/>
      <c r="H64" s="4"/>
      <c r="I64" s="4"/>
      <c r="J64" s="55"/>
    </row>
    <row r="65" spans="1:10" x14ac:dyDescent="0.2">
      <c r="A65" s="4"/>
      <c r="B65" s="4"/>
      <c r="C65" s="4"/>
      <c r="G65" s="4"/>
      <c r="H65" s="4"/>
      <c r="I65" s="4"/>
      <c r="J65" s="55"/>
    </row>
    <row r="66" spans="1:10" x14ac:dyDescent="0.2">
      <c r="A66" s="4"/>
      <c r="B66" s="4"/>
      <c r="C66" s="4"/>
      <c r="G66" s="4"/>
      <c r="H66" s="4"/>
      <c r="I66" s="4"/>
      <c r="J66" s="55"/>
    </row>
    <row r="67" spans="1:10" x14ac:dyDescent="0.2">
      <c r="A67" s="4"/>
      <c r="B67" s="4"/>
      <c r="C67" s="4"/>
      <c r="G67" s="4"/>
      <c r="H67" s="4"/>
      <c r="I67" s="4"/>
      <c r="J67" s="55"/>
    </row>
    <row r="68" spans="1:10" x14ac:dyDescent="0.2">
      <c r="A68" s="4"/>
      <c r="B68" s="4"/>
      <c r="C68" s="4"/>
      <c r="G68" s="4"/>
      <c r="H68" s="4"/>
      <c r="I68" s="4"/>
      <c r="J68" s="55"/>
    </row>
    <row r="69" spans="1:10" x14ac:dyDescent="0.2">
      <c r="A69" s="4"/>
      <c r="B69" s="4"/>
      <c r="C69" s="4"/>
      <c r="G69" s="4"/>
      <c r="H69" s="4"/>
      <c r="I69" s="4"/>
      <c r="J69" s="55"/>
    </row>
    <row r="70" spans="1:10" x14ac:dyDescent="0.2">
      <c r="A70" s="4"/>
      <c r="B70" s="4"/>
      <c r="C70" s="4"/>
      <c r="G70" s="4"/>
      <c r="H70" s="4"/>
      <c r="I70" s="4"/>
      <c r="J70" s="55"/>
    </row>
    <row r="71" spans="1:10" x14ac:dyDescent="0.2">
      <c r="A71" s="4"/>
      <c r="B71" s="4"/>
      <c r="C71" s="4"/>
      <c r="G71" s="4"/>
      <c r="H71" s="4"/>
      <c r="I71" s="4"/>
      <c r="J71" s="55"/>
    </row>
    <row r="72" spans="1:10" x14ac:dyDescent="0.2">
      <c r="A72" s="4"/>
      <c r="B72" s="4"/>
      <c r="C72" s="4"/>
      <c r="G72" s="4"/>
      <c r="H72" s="4"/>
      <c r="I72" s="4"/>
      <c r="J72" s="55"/>
    </row>
    <row r="73" spans="1:10" x14ac:dyDescent="0.2">
      <c r="A73" s="4"/>
      <c r="B73" s="4"/>
      <c r="C73" s="4"/>
      <c r="G73" s="4"/>
      <c r="H73" s="4"/>
      <c r="I73" s="4"/>
      <c r="J73" s="55"/>
    </row>
    <row r="74" spans="1:10" x14ac:dyDescent="0.2">
      <c r="A74" s="4"/>
      <c r="B74" s="4"/>
      <c r="C74" s="4"/>
      <c r="G74" s="4"/>
      <c r="H74" s="4"/>
      <c r="I74" s="4"/>
      <c r="J74" s="55"/>
    </row>
    <row r="75" spans="1:10" x14ac:dyDescent="0.2">
      <c r="A75" s="4"/>
      <c r="B75" s="4"/>
      <c r="C75" s="4"/>
      <c r="G75" s="4"/>
      <c r="H75" s="4"/>
      <c r="I75" s="4"/>
      <c r="J75" s="55"/>
    </row>
    <row r="76" spans="1:10" x14ac:dyDescent="0.2">
      <c r="A76" s="4"/>
      <c r="B76" s="4"/>
      <c r="C76" s="4"/>
      <c r="G76" s="4"/>
      <c r="H76" s="4"/>
      <c r="I76" s="4"/>
      <c r="J76" s="55"/>
    </row>
    <row r="77" spans="1:10" x14ac:dyDescent="0.2">
      <c r="A77" s="4"/>
      <c r="B77" s="4"/>
      <c r="C77" s="4"/>
      <c r="G77" s="4"/>
      <c r="H77" s="4"/>
      <c r="I77" s="4"/>
      <c r="J77" s="55"/>
    </row>
    <row r="78" spans="1:10" x14ac:dyDescent="0.2">
      <c r="A78" s="4"/>
      <c r="B78" s="4"/>
      <c r="C78" s="4"/>
      <c r="G78" s="4"/>
      <c r="H78" s="4"/>
      <c r="I78" s="4"/>
      <c r="J78" s="55"/>
    </row>
    <row r="79" spans="1:10" x14ac:dyDescent="0.2">
      <c r="A79" s="4"/>
      <c r="B79" s="4"/>
      <c r="C79" s="4"/>
      <c r="G79" s="4"/>
      <c r="H79" s="4"/>
      <c r="I79" s="4"/>
      <c r="J79" s="55"/>
    </row>
    <row r="80" spans="1:10" x14ac:dyDescent="0.2">
      <c r="A80" s="4"/>
      <c r="B80" s="4"/>
      <c r="C80" s="4"/>
      <c r="G80" s="4"/>
      <c r="H80" s="4"/>
      <c r="I80" s="4"/>
      <c r="J80" s="55"/>
    </row>
    <row r="81" spans="1:10" x14ac:dyDescent="0.2">
      <c r="A81" s="4"/>
      <c r="B81" s="4"/>
      <c r="C81" s="4"/>
      <c r="G81" s="4"/>
      <c r="H81" s="4"/>
      <c r="I81" s="4"/>
      <c r="J81" s="55"/>
    </row>
    <row r="82" spans="1:10" x14ac:dyDescent="0.2">
      <c r="A82" s="4"/>
      <c r="B82" s="4"/>
      <c r="C82" s="4"/>
      <c r="G82" s="4"/>
      <c r="H82" s="4"/>
      <c r="I82" s="4"/>
      <c r="J82" s="55"/>
    </row>
    <row r="83" spans="1:10" x14ac:dyDescent="0.2">
      <c r="A83" s="4"/>
      <c r="B83" s="4"/>
      <c r="C83" s="4"/>
      <c r="G83" s="4"/>
      <c r="H83" s="4"/>
      <c r="I83" s="4"/>
      <c r="J83" s="55"/>
    </row>
    <row r="84" spans="1:10" x14ac:dyDescent="0.2">
      <c r="A84" s="4"/>
      <c r="B84" s="4"/>
      <c r="C84" s="4"/>
      <c r="G84" s="4"/>
      <c r="H84" s="4"/>
      <c r="I84" s="4"/>
      <c r="J84" s="55"/>
    </row>
    <row r="85" spans="1:10" x14ac:dyDescent="0.2">
      <c r="A85" s="4"/>
      <c r="B85" s="4"/>
      <c r="C85" s="4"/>
      <c r="G85" s="4"/>
      <c r="H85" s="4"/>
      <c r="I85" s="4"/>
      <c r="J85" s="55"/>
    </row>
    <row r="86" spans="1:10" x14ac:dyDescent="0.2">
      <c r="A86" s="4"/>
      <c r="B86" s="4"/>
      <c r="C86" s="4"/>
      <c r="G86" s="4"/>
      <c r="H86" s="4"/>
      <c r="I86" s="4"/>
      <c r="J86" s="55"/>
    </row>
    <row r="87" spans="1:10" x14ac:dyDescent="0.2">
      <c r="A87" s="4"/>
      <c r="B87" s="4"/>
      <c r="C87" s="4"/>
      <c r="G87" s="4"/>
      <c r="H87" s="4"/>
      <c r="I87" s="4"/>
      <c r="J87" s="55"/>
    </row>
    <row r="88" spans="1:10" x14ac:dyDescent="0.2">
      <c r="A88" s="4"/>
      <c r="B88" s="4"/>
      <c r="C88" s="4"/>
      <c r="G88" s="4"/>
      <c r="H88" s="4"/>
      <c r="I88" s="4"/>
      <c r="J88" s="55"/>
    </row>
    <row r="89" spans="1:10" x14ac:dyDescent="0.2">
      <c r="A89" s="4"/>
      <c r="B89" s="4"/>
      <c r="C89" s="4"/>
      <c r="G89" s="4"/>
      <c r="H89" s="4"/>
      <c r="I89" s="4"/>
      <c r="J89" s="55"/>
    </row>
    <row r="90" spans="1:10" x14ac:dyDescent="0.2">
      <c r="A90" s="4"/>
      <c r="B90" s="4"/>
      <c r="C90" s="4"/>
      <c r="G90" s="4"/>
      <c r="H90" s="4"/>
      <c r="I90" s="4"/>
      <c r="J90" s="55"/>
    </row>
    <row r="91" spans="1:10" x14ac:dyDescent="0.2">
      <c r="A91" s="4"/>
      <c r="B91" s="4"/>
      <c r="C91" s="4"/>
      <c r="G91" s="4"/>
      <c r="H91" s="4"/>
      <c r="I91" s="4"/>
      <c r="J91" s="55"/>
    </row>
    <row r="92" spans="1:10" x14ac:dyDescent="0.2">
      <c r="A92" s="4"/>
      <c r="B92" s="4"/>
      <c r="C92" s="4"/>
      <c r="G92" s="4"/>
      <c r="H92" s="4"/>
      <c r="I92" s="4"/>
      <c r="J92" s="55"/>
    </row>
    <row r="93" spans="1:10" x14ac:dyDescent="0.2">
      <c r="A93" s="4"/>
      <c r="B93" s="4"/>
      <c r="C93" s="4"/>
      <c r="G93" s="4"/>
      <c r="H93" s="4"/>
      <c r="I93" s="4"/>
      <c r="J93" s="55"/>
    </row>
    <row r="94" spans="1:10" x14ac:dyDescent="0.2">
      <c r="A94" s="4"/>
      <c r="B94" s="4"/>
      <c r="C94" s="4"/>
      <c r="G94" s="4"/>
      <c r="H94" s="4"/>
      <c r="I94" s="4"/>
      <c r="J94" s="55"/>
    </row>
    <row r="95" spans="1:10" x14ac:dyDescent="0.2">
      <c r="A95" s="4"/>
      <c r="B95" s="4"/>
      <c r="C95" s="4"/>
      <c r="G95" s="4"/>
      <c r="H95" s="4"/>
      <c r="I95" s="4"/>
      <c r="J95" s="55"/>
    </row>
    <row r="96" spans="1:10" x14ac:dyDescent="0.2">
      <c r="A96" s="4"/>
      <c r="B96" s="4"/>
      <c r="C96" s="4"/>
      <c r="G96" s="4"/>
      <c r="H96" s="4"/>
      <c r="I96" s="4"/>
      <c r="J96" s="55"/>
    </row>
    <row r="97" spans="1:10" x14ac:dyDescent="0.2">
      <c r="A97" s="4"/>
      <c r="B97" s="4"/>
      <c r="C97" s="4"/>
      <c r="G97" s="4"/>
      <c r="H97" s="4"/>
      <c r="I97" s="4"/>
      <c r="J97" s="55"/>
    </row>
    <row r="98" spans="1:10" x14ac:dyDescent="0.2">
      <c r="A98" s="4"/>
      <c r="B98" s="4"/>
      <c r="C98" s="4"/>
      <c r="G98" s="4"/>
      <c r="H98" s="4"/>
      <c r="I98" s="4"/>
      <c r="J98" s="55"/>
    </row>
    <row r="99" spans="1:10" x14ac:dyDescent="0.2">
      <c r="A99" s="4"/>
      <c r="B99" s="4"/>
      <c r="C99" s="4"/>
      <c r="G99" s="4"/>
      <c r="H99" s="4"/>
      <c r="I99" s="4"/>
      <c r="J99" s="55"/>
    </row>
    <row r="100" spans="1:10" x14ac:dyDescent="0.2">
      <c r="A100" s="4"/>
      <c r="B100" s="4"/>
      <c r="C100" s="4"/>
      <c r="G100" s="4"/>
      <c r="H100" s="4"/>
      <c r="I100" s="4"/>
      <c r="J100" s="55"/>
    </row>
    <row r="101" spans="1:10" x14ac:dyDescent="0.2">
      <c r="A101" s="4"/>
      <c r="B101" s="4"/>
      <c r="C101" s="4"/>
      <c r="G101" s="4"/>
      <c r="H101" s="4"/>
      <c r="I101" s="4"/>
      <c r="J101" s="55"/>
    </row>
    <row r="102" spans="1:10" x14ac:dyDescent="0.2">
      <c r="A102" s="4"/>
      <c r="B102" s="4"/>
      <c r="C102" s="4"/>
      <c r="G102" s="4"/>
      <c r="H102" s="4"/>
      <c r="I102" s="4"/>
      <c r="J102" s="55"/>
    </row>
    <row r="103" spans="1:10" x14ac:dyDescent="0.2">
      <c r="A103" s="4"/>
      <c r="B103" s="4"/>
      <c r="C103" s="4"/>
      <c r="G103" s="4"/>
      <c r="H103" s="4"/>
      <c r="I103" s="4"/>
      <c r="J103" s="55"/>
    </row>
    <row r="104" spans="1:10" x14ac:dyDescent="0.2">
      <c r="A104" s="4"/>
      <c r="B104" s="4"/>
      <c r="C104" s="4"/>
      <c r="G104" s="4"/>
      <c r="H104" s="4"/>
      <c r="I104" s="4"/>
      <c r="J104" s="55"/>
    </row>
    <row r="105" spans="1:10" x14ac:dyDescent="0.2">
      <c r="A105" s="4"/>
      <c r="B105" s="4"/>
      <c r="C105" s="4"/>
      <c r="G105" s="4"/>
      <c r="H105" s="4"/>
      <c r="I105" s="4"/>
      <c r="J105" s="55"/>
    </row>
    <row r="106" spans="1:10" x14ac:dyDescent="0.2">
      <c r="A106" s="4"/>
      <c r="B106" s="4"/>
      <c r="C106" s="4"/>
      <c r="G106" s="4"/>
      <c r="H106" s="4"/>
      <c r="I106" s="4"/>
      <c r="J106" s="55"/>
    </row>
    <row r="107" spans="1:10" x14ac:dyDescent="0.2">
      <c r="A107" s="4"/>
      <c r="B107" s="4"/>
      <c r="C107" s="4"/>
      <c r="G107" s="4"/>
      <c r="H107" s="4"/>
      <c r="I107" s="4"/>
      <c r="J107" s="55"/>
    </row>
    <row r="108" spans="1:10" x14ac:dyDescent="0.2">
      <c r="A108" s="4"/>
      <c r="B108" s="4"/>
      <c r="C108" s="4"/>
      <c r="G108" s="4"/>
      <c r="H108" s="4"/>
      <c r="I108" s="4"/>
      <c r="J108" s="55"/>
    </row>
    <row r="109" spans="1:10" x14ac:dyDescent="0.2">
      <c r="A109" s="4"/>
      <c r="B109" s="4"/>
      <c r="C109" s="4"/>
      <c r="G109" s="4"/>
      <c r="H109" s="4"/>
      <c r="I109" s="4"/>
      <c r="J109" s="55"/>
    </row>
    <row r="110" spans="1:10" x14ac:dyDescent="0.2">
      <c r="A110" s="4"/>
      <c r="B110" s="4"/>
      <c r="C110" s="4"/>
      <c r="G110" s="4"/>
      <c r="H110" s="4"/>
      <c r="I110" s="4"/>
      <c r="J110" s="55"/>
    </row>
    <row r="111" spans="1:10" x14ac:dyDescent="0.2">
      <c r="A111" s="4"/>
      <c r="B111" s="4"/>
      <c r="C111" s="4"/>
      <c r="G111" s="4"/>
      <c r="H111" s="4"/>
      <c r="I111" s="4"/>
      <c r="J111" s="55"/>
    </row>
    <row r="112" spans="1:10" x14ac:dyDescent="0.2">
      <c r="A112" s="4"/>
      <c r="B112" s="4"/>
      <c r="C112" s="4"/>
      <c r="G112" s="4"/>
      <c r="H112" s="4"/>
      <c r="I112" s="4"/>
      <c r="J112" s="55"/>
    </row>
    <row r="113" spans="1:10" x14ac:dyDescent="0.2">
      <c r="A113" s="4"/>
      <c r="B113" s="4"/>
      <c r="C113" s="4"/>
      <c r="G113" s="4"/>
      <c r="H113" s="4"/>
      <c r="I113" s="4"/>
      <c r="J113" s="55"/>
    </row>
    <row r="114" spans="1:10" x14ac:dyDescent="0.2">
      <c r="A114" s="4"/>
      <c r="B114" s="4"/>
      <c r="C114" s="4"/>
      <c r="G114" s="4"/>
      <c r="H114" s="4"/>
      <c r="I114" s="4"/>
      <c r="J114" s="55"/>
    </row>
    <row r="115" spans="1:10" x14ac:dyDescent="0.2">
      <c r="A115" s="4"/>
      <c r="B115" s="4"/>
      <c r="C115" s="4"/>
      <c r="G115" s="4"/>
      <c r="H115" s="4"/>
      <c r="I115" s="4"/>
      <c r="J115" s="55"/>
    </row>
    <row r="116" spans="1:10" x14ac:dyDescent="0.2">
      <c r="A116" s="4"/>
      <c r="B116" s="4"/>
      <c r="C116" s="4"/>
      <c r="G116" s="4"/>
      <c r="H116" s="4"/>
      <c r="I116" s="4"/>
      <c r="J116" s="55"/>
    </row>
    <row r="117" spans="1:10" x14ac:dyDescent="0.2">
      <c r="A117" s="4"/>
      <c r="B117" s="4"/>
      <c r="C117" s="4"/>
      <c r="G117" s="4"/>
      <c r="H117" s="4"/>
      <c r="I117" s="4"/>
      <c r="J117" s="55"/>
    </row>
    <row r="118" spans="1:10" x14ac:dyDescent="0.2">
      <c r="A118" s="4"/>
      <c r="B118" s="4"/>
      <c r="C118" s="4"/>
      <c r="G118" s="4"/>
      <c r="H118" s="4"/>
      <c r="I118" s="4"/>
      <c r="J118" s="55"/>
    </row>
    <row r="119" spans="1:10" x14ac:dyDescent="0.2">
      <c r="A119" s="4"/>
      <c r="B119" s="4"/>
      <c r="C119" s="4"/>
      <c r="G119" s="4"/>
      <c r="H119" s="4"/>
      <c r="I119" s="4"/>
      <c r="J119" s="55"/>
    </row>
    <row r="120" spans="1:10" x14ac:dyDescent="0.2">
      <c r="A120" s="4"/>
      <c r="B120" s="4"/>
      <c r="C120" s="4"/>
      <c r="G120" s="4"/>
      <c r="H120" s="4"/>
      <c r="I120" s="4"/>
      <c r="J120" s="55"/>
    </row>
    <row r="121" spans="1:10" x14ac:dyDescent="0.2">
      <c r="A121" s="4"/>
      <c r="B121" s="4"/>
      <c r="C121" s="4"/>
      <c r="G121" s="4"/>
      <c r="H121" s="4"/>
      <c r="I121" s="4"/>
      <c r="J121" s="55"/>
    </row>
    <row r="122" spans="1:10" x14ac:dyDescent="0.2">
      <c r="A122" s="4"/>
      <c r="B122" s="4"/>
      <c r="C122" s="4"/>
      <c r="G122" s="4"/>
      <c r="H122" s="4"/>
      <c r="I122" s="4"/>
      <c r="J122" s="55"/>
    </row>
    <row r="123" spans="1:10" x14ac:dyDescent="0.2">
      <c r="A123" s="4"/>
      <c r="B123" s="4"/>
      <c r="C123" s="4"/>
      <c r="G123" s="4"/>
      <c r="H123" s="4"/>
      <c r="I123" s="4"/>
      <c r="J123" s="55"/>
    </row>
    <row r="124" spans="1:10" x14ac:dyDescent="0.2">
      <c r="A124" s="4"/>
      <c r="B124" s="4"/>
      <c r="C124" s="4"/>
      <c r="G124" s="4"/>
      <c r="H124" s="4"/>
      <c r="I124" s="4"/>
      <c r="J124" s="55"/>
    </row>
    <row r="125" spans="1:10" x14ac:dyDescent="0.2">
      <c r="A125" s="4"/>
      <c r="B125" s="4"/>
      <c r="C125" s="4"/>
      <c r="G125" s="4"/>
      <c r="H125" s="4"/>
      <c r="I125" s="4"/>
      <c r="J125" s="55"/>
    </row>
    <row r="126" spans="1:10" x14ac:dyDescent="0.2">
      <c r="A126" s="4"/>
      <c r="B126" s="4"/>
      <c r="C126" s="4"/>
      <c r="G126" s="4"/>
      <c r="H126" s="4"/>
      <c r="I126" s="4"/>
      <c r="J126" s="55"/>
    </row>
    <row r="127" spans="1:10" x14ac:dyDescent="0.2">
      <c r="A127" s="4"/>
      <c r="B127" s="4"/>
      <c r="C127" s="4"/>
      <c r="G127" s="4"/>
      <c r="H127" s="4"/>
      <c r="I127" s="4"/>
      <c r="J127" s="55"/>
    </row>
    <row r="128" spans="1:10" x14ac:dyDescent="0.2">
      <c r="A128" s="4"/>
      <c r="B128" s="4"/>
      <c r="C128" s="4"/>
      <c r="G128" s="4"/>
      <c r="H128" s="4"/>
      <c r="I128" s="4"/>
      <c r="J128" s="55"/>
    </row>
    <row r="129" spans="1:10" x14ac:dyDescent="0.2">
      <c r="A129" s="4"/>
      <c r="B129" s="4"/>
      <c r="C129" s="4"/>
      <c r="G129" s="4"/>
      <c r="H129" s="4"/>
      <c r="I129" s="4"/>
      <c r="J129" s="55"/>
    </row>
    <row r="130" spans="1:10" x14ac:dyDescent="0.2">
      <c r="A130" s="4"/>
      <c r="B130" s="4"/>
      <c r="C130" s="4"/>
      <c r="G130" s="4"/>
      <c r="H130" s="4"/>
      <c r="I130" s="4"/>
      <c r="J130" s="55"/>
    </row>
    <row r="131" spans="1:10" x14ac:dyDescent="0.2">
      <c r="A131" s="4"/>
      <c r="B131" s="4"/>
      <c r="C131" s="4"/>
      <c r="G131" s="4"/>
      <c r="H131" s="4"/>
      <c r="I131" s="4"/>
      <c r="J131" s="55"/>
    </row>
    <row r="132" spans="1:10" x14ac:dyDescent="0.2">
      <c r="A132" s="4"/>
      <c r="B132" s="4"/>
      <c r="C132" s="4"/>
      <c r="G132" s="4"/>
      <c r="H132" s="4"/>
      <c r="I132" s="4"/>
      <c r="J132" s="55"/>
    </row>
    <row r="133" spans="1:10" x14ac:dyDescent="0.2">
      <c r="A133" s="4"/>
      <c r="B133" s="4"/>
      <c r="C133" s="4"/>
      <c r="G133" s="4"/>
      <c r="H133" s="4"/>
      <c r="I133" s="4"/>
      <c r="J133" s="55"/>
    </row>
    <row r="134" spans="1:10" x14ac:dyDescent="0.2">
      <c r="A134" s="4"/>
      <c r="B134" s="4"/>
      <c r="C134" s="4"/>
      <c r="G134" s="4"/>
      <c r="H134" s="4"/>
      <c r="I134" s="4"/>
      <c r="J134" s="55"/>
    </row>
    <row r="135" spans="1:10" x14ac:dyDescent="0.2">
      <c r="A135" s="4"/>
      <c r="B135" s="4"/>
      <c r="C135" s="4"/>
      <c r="G135" s="4"/>
      <c r="H135" s="4"/>
      <c r="I135" s="4"/>
      <c r="J135" s="55"/>
    </row>
    <row r="136" spans="1:10" x14ac:dyDescent="0.2">
      <c r="A136" s="4"/>
      <c r="B136" s="4"/>
      <c r="C136" s="4"/>
      <c r="G136" s="4"/>
      <c r="H136" s="4"/>
      <c r="I136" s="4"/>
      <c r="J136" s="55"/>
    </row>
    <row r="137" spans="1:10" x14ac:dyDescent="0.2">
      <c r="A137" s="4"/>
      <c r="B137" s="4"/>
      <c r="C137" s="4"/>
      <c r="G137" s="4"/>
      <c r="H137" s="4"/>
      <c r="I137" s="4"/>
      <c r="J137" s="55"/>
    </row>
    <row r="138" spans="1:10" x14ac:dyDescent="0.2">
      <c r="A138" s="4"/>
      <c r="B138" s="4"/>
      <c r="C138" s="4"/>
      <c r="G138" s="4"/>
      <c r="H138" s="4"/>
      <c r="I138" s="4"/>
      <c r="J138" s="55"/>
    </row>
    <row r="139" spans="1:10" x14ac:dyDescent="0.2">
      <c r="A139" s="4"/>
      <c r="B139" s="4"/>
      <c r="C139" s="4"/>
      <c r="G139" s="4"/>
      <c r="H139" s="4"/>
      <c r="I139" s="4"/>
      <c r="J139" s="55"/>
    </row>
    <row r="140" spans="1:10" x14ac:dyDescent="0.2">
      <c r="A140" s="4"/>
      <c r="B140" s="4"/>
      <c r="C140" s="4"/>
      <c r="G140" s="4"/>
      <c r="H140" s="4"/>
      <c r="I140" s="4"/>
      <c r="J140" s="55"/>
    </row>
    <row r="141" spans="1:10" x14ac:dyDescent="0.2">
      <c r="A141" s="4"/>
      <c r="B141" s="4"/>
      <c r="C141" s="4"/>
      <c r="G141" s="4"/>
      <c r="H141" s="4"/>
      <c r="I141" s="4"/>
      <c r="J141" s="55"/>
    </row>
    <row r="142" spans="1:10" x14ac:dyDescent="0.2">
      <c r="A142" s="4"/>
      <c r="B142" s="4"/>
      <c r="C142" s="4"/>
      <c r="G142" s="4"/>
      <c r="H142" s="4"/>
      <c r="I142" s="4"/>
      <c r="J142" s="55"/>
    </row>
    <row r="143" spans="1:10" x14ac:dyDescent="0.2">
      <c r="A143" s="4"/>
      <c r="B143" s="4"/>
      <c r="C143" s="4"/>
      <c r="G143" s="4"/>
      <c r="H143" s="4"/>
      <c r="I143" s="4"/>
      <c r="J143" s="55"/>
    </row>
    <row r="144" spans="1:10" x14ac:dyDescent="0.2">
      <c r="A144" s="4"/>
      <c r="B144" s="4"/>
      <c r="C144" s="4"/>
      <c r="G144" s="4"/>
      <c r="H144" s="4"/>
      <c r="I144" s="4"/>
      <c r="J144" s="55"/>
    </row>
    <row r="145" spans="1:10" x14ac:dyDescent="0.2">
      <c r="A145" s="4"/>
      <c r="B145" s="4"/>
      <c r="C145" s="4"/>
      <c r="G145" s="4"/>
      <c r="H145" s="4"/>
      <c r="I145" s="4"/>
      <c r="J145" s="55"/>
    </row>
    <row r="146" spans="1:10" x14ac:dyDescent="0.2">
      <c r="A146" s="4"/>
      <c r="B146" s="4"/>
      <c r="C146" s="4"/>
      <c r="G146" s="4"/>
      <c r="H146" s="4"/>
      <c r="I146" s="4"/>
      <c r="J146" s="55"/>
    </row>
    <row r="147" spans="1:10" x14ac:dyDescent="0.2">
      <c r="A147" s="4"/>
      <c r="B147" s="4"/>
      <c r="C147" s="4"/>
      <c r="G147" s="4"/>
      <c r="H147" s="4"/>
      <c r="I147" s="4"/>
      <c r="J147" s="55"/>
    </row>
    <row r="148" spans="1:10" x14ac:dyDescent="0.2">
      <c r="A148" s="4"/>
      <c r="B148" s="4"/>
      <c r="C148" s="4"/>
      <c r="G148" s="4"/>
      <c r="H148" s="4"/>
      <c r="I148" s="4"/>
      <c r="J148" s="55"/>
    </row>
    <row r="149" spans="1:10" x14ac:dyDescent="0.2">
      <c r="A149" s="4"/>
      <c r="B149" s="4"/>
      <c r="C149" s="4"/>
      <c r="G149" s="4"/>
      <c r="H149" s="4"/>
      <c r="I149" s="4"/>
      <c r="J149" s="55"/>
    </row>
    <row r="150" spans="1:10" x14ac:dyDescent="0.2">
      <c r="A150" s="4"/>
      <c r="B150" s="4"/>
      <c r="C150" s="4"/>
      <c r="G150" s="4"/>
      <c r="H150" s="4"/>
      <c r="I150" s="4"/>
      <c r="J150" s="55"/>
    </row>
    <row r="151" spans="1:10" x14ac:dyDescent="0.2">
      <c r="A151" s="4"/>
      <c r="B151" s="4"/>
      <c r="C151" s="4"/>
      <c r="G151" s="4"/>
      <c r="H151" s="4"/>
      <c r="I151" s="4"/>
      <c r="J151" s="55"/>
    </row>
    <row r="152" spans="1:10" x14ac:dyDescent="0.2">
      <c r="A152" s="4"/>
      <c r="B152" s="4"/>
      <c r="C152" s="4"/>
      <c r="G152" s="4"/>
      <c r="H152" s="4"/>
      <c r="I152" s="4"/>
      <c r="J152" s="55"/>
    </row>
    <row r="153" spans="1:10" x14ac:dyDescent="0.2">
      <c r="A153" s="4"/>
      <c r="B153" s="4"/>
      <c r="C153" s="4"/>
      <c r="G153" s="4"/>
      <c r="H153" s="4"/>
      <c r="I153" s="4"/>
      <c r="J153" s="55"/>
    </row>
    <row r="154" spans="1:10" x14ac:dyDescent="0.2">
      <c r="A154" s="4"/>
      <c r="B154" s="4"/>
      <c r="C154" s="4"/>
      <c r="G154" s="4"/>
      <c r="H154" s="4"/>
      <c r="I154" s="4"/>
      <c r="J154" s="55"/>
    </row>
    <row r="155" spans="1:10" x14ac:dyDescent="0.2">
      <c r="A155" s="4"/>
      <c r="B155" s="4"/>
      <c r="C155" s="4"/>
      <c r="G155" s="4"/>
      <c r="H155" s="4"/>
      <c r="I155" s="4"/>
      <c r="J155" s="55"/>
    </row>
    <row r="156" spans="1:10" x14ac:dyDescent="0.2">
      <c r="A156" s="4"/>
      <c r="B156" s="4"/>
      <c r="C156" s="4"/>
      <c r="G156" s="4"/>
      <c r="H156" s="4"/>
      <c r="I156" s="4"/>
      <c r="J156" s="55"/>
    </row>
    <row r="157" spans="1:10" x14ac:dyDescent="0.2">
      <c r="A157" s="4"/>
      <c r="B157" s="4"/>
      <c r="C157" s="4"/>
      <c r="G157" s="4"/>
      <c r="H157" s="4"/>
      <c r="I157" s="4"/>
      <c r="J157" s="55"/>
    </row>
    <row r="158" spans="1:10" x14ac:dyDescent="0.2">
      <c r="A158" s="4"/>
      <c r="B158" s="4"/>
      <c r="C158" s="4"/>
      <c r="G158" s="4"/>
      <c r="H158" s="4"/>
      <c r="I158" s="4"/>
      <c r="J158" s="55"/>
    </row>
    <row r="159" spans="1:10" x14ac:dyDescent="0.2">
      <c r="A159" s="4"/>
      <c r="B159" s="4"/>
      <c r="C159" s="4"/>
      <c r="G159" s="4"/>
      <c r="H159" s="4"/>
      <c r="I159" s="4"/>
      <c r="J159" s="55"/>
    </row>
    <row r="160" spans="1:10" x14ac:dyDescent="0.2">
      <c r="A160" s="4"/>
      <c r="B160" s="4"/>
      <c r="C160" s="4"/>
      <c r="G160" s="4"/>
      <c r="H160" s="4"/>
      <c r="I160" s="4"/>
      <c r="J160" s="55"/>
    </row>
    <row r="161" spans="1:10" x14ac:dyDescent="0.2">
      <c r="A161" s="4"/>
      <c r="B161" s="4"/>
      <c r="C161" s="4"/>
      <c r="G161" s="4"/>
      <c r="H161" s="4"/>
      <c r="I161" s="4"/>
      <c r="J161" s="55"/>
    </row>
    <row r="162" spans="1:10" x14ac:dyDescent="0.2">
      <c r="A162" s="4"/>
      <c r="B162" s="4"/>
      <c r="C162" s="4"/>
      <c r="G162" s="4"/>
      <c r="H162" s="4"/>
      <c r="I162" s="4"/>
      <c r="J162" s="55"/>
    </row>
    <row r="163" spans="1:10" x14ac:dyDescent="0.2">
      <c r="A163" s="4"/>
      <c r="B163" s="4"/>
      <c r="C163" s="4"/>
      <c r="G163" s="4"/>
      <c r="H163" s="4"/>
      <c r="I163" s="4"/>
      <c r="J163" s="55"/>
    </row>
    <row r="164" spans="1:10" x14ac:dyDescent="0.2">
      <c r="A164" s="4"/>
      <c r="B164" s="4"/>
      <c r="C164" s="4"/>
      <c r="G164" s="4"/>
      <c r="H164" s="4"/>
      <c r="I164" s="4"/>
      <c r="J164" s="55"/>
    </row>
    <row r="165" spans="1:10" x14ac:dyDescent="0.2">
      <c r="A165" s="4"/>
      <c r="B165" s="4"/>
      <c r="C165" s="4"/>
      <c r="G165" s="4"/>
      <c r="H165" s="4"/>
      <c r="I165" s="4"/>
      <c r="J165" s="55"/>
    </row>
    <row r="166" spans="1:10" x14ac:dyDescent="0.2">
      <c r="A166" s="4"/>
      <c r="B166" s="4"/>
      <c r="C166" s="4"/>
      <c r="G166" s="4"/>
      <c r="H166" s="4"/>
      <c r="I166" s="4"/>
      <c r="J166" s="55"/>
    </row>
    <row r="167" spans="1:10" x14ac:dyDescent="0.2">
      <c r="A167" s="4"/>
      <c r="B167" s="4"/>
      <c r="C167" s="4"/>
      <c r="G167" s="4"/>
      <c r="H167" s="4"/>
      <c r="I167" s="4"/>
      <c r="J167" s="55"/>
    </row>
    <row r="168" spans="1:10" x14ac:dyDescent="0.2">
      <c r="A168" s="4"/>
      <c r="B168" s="4"/>
      <c r="C168" s="4"/>
      <c r="G168" s="4"/>
      <c r="H168" s="4"/>
      <c r="I168" s="4"/>
      <c r="J168" s="55"/>
    </row>
    <row r="169" spans="1:10" x14ac:dyDescent="0.2">
      <c r="A169" s="4"/>
      <c r="B169" s="4"/>
      <c r="C169" s="4"/>
      <c r="G169" s="4"/>
      <c r="H169" s="4"/>
      <c r="I169" s="4"/>
      <c r="J169" s="55"/>
    </row>
    <row r="170" spans="1:10" x14ac:dyDescent="0.2">
      <c r="A170" s="4"/>
      <c r="B170" s="4"/>
      <c r="C170" s="4"/>
      <c r="G170" s="4"/>
      <c r="H170" s="4"/>
      <c r="I170" s="4"/>
      <c r="J170" s="55"/>
    </row>
    <row r="171" spans="1:10" x14ac:dyDescent="0.2">
      <c r="A171" s="4"/>
      <c r="B171" s="4"/>
      <c r="C171" s="4"/>
      <c r="G171" s="4"/>
      <c r="H171" s="4"/>
      <c r="I171" s="4"/>
      <c r="J171" s="55"/>
    </row>
    <row r="172" spans="1:10" x14ac:dyDescent="0.2">
      <c r="A172" s="4"/>
      <c r="B172" s="4"/>
      <c r="C172" s="4"/>
      <c r="G172" s="4"/>
      <c r="H172" s="4"/>
      <c r="I172" s="4"/>
      <c r="J172" s="55"/>
    </row>
    <row r="173" spans="1:10" x14ac:dyDescent="0.2">
      <c r="A173" s="4"/>
      <c r="B173" s="4"/>
      <c r="C173" s="4"/>
      <c r="G173" s="4"/>
      <c r="H173" s="4"/>
      <c r="I173" s="4"/>
      <c r="J173" s="55"/>
    </row>
    <row r="174" spans="1:10" x14ac:dyDescent="0.2">
      <c r="A174" s="4"/>
      <c r="B174" s="4"/>
      <c r="C174" s="4"/>
      <c r="G174" s="4"/>
      <c r="H174" s="4"/>
      <c r="I174" s="4"/>
      <c r="J174" s="55"/>
    </row>
    <row r="175" spans="1:10" x14ac:dyDescent="0.2">
      <c r="A175" s="4"/>
      <c r="B175" s="4"/>
      <c r="C175" s="4"/>
      <c r="G175" s="4"/>
      <c r="H175" s="4"/>
      <c r="I175" s="4"/>
      <c r="J175" s="55"/>
    </row>
    <row r="176" spans="1:10" x14ac:dyDescent="0.2">
      <c r="A176" s="4"/>
      <c r="B176" s="4"/>
      <c r="C176" s="4"/>
      <c r="G176" s="4"/>
      <c r="H176" s="4"/>
      <c r="I176" s="4"/>
      <c r="J176" s="55"/>
    </row>
    <row r="177" spans="1:10" x14ac:dyDescent="0.2">
      <c r="A177" s="4"/>
      <c r="B177" s="4"/>
      <c r="C177" s="4"/>
      <c r="G177" s="4"/>
      <c r="H177" s="4"/>
      <c r="I177" s="4"/>
      <c r="J177" s="55"/>
    </row>
    <row r="178" spans="1:10" x14ac:dyDescent="0.2">
      <c r="A178" s="4"/>
      <c r="B178" s="4"/>
      <c r="C178" s="4"/>
      <c r="G178" s="4"/>
      <c r="H178" s="4"/>
      <c r="I178" s="4"/>
      <c r="J178" s="55"/>
    </row>
    <row r="179" spans="1:10" x14ac:dyDescent="0.2">
      <c r="A179" s="4"/>
      <c r="B179" s="4"/>
      <c r="C179" s="4"/>
      <c r="G179" s="4"/>
      <c r="H179" s="4"/>
      <c r="I179" s="4"/>
      <c r="J179" s="55"/>
    </row>
    <row r="180" spans="1:10" x14ac:dyDescent="0.2">
      <c r="A180" s="4"/>
      <c r="B180" s="4"/>
      <c r="C180" s="4"/>
      <c r="G180" s="4"/>
      <c r="H180" s="4"/>
      <c r="I180" s="4"/>
      <c r="J180" s="55"/>
    </row>
    <row r="181" spans="1:10" x14ac:dyDescent="0.2">
      <c r="A181" s="4"/>
      <c r="B181" s="4"/>
      <c r="C181" s="4"/>
      <c r="G181" s="4"/>
      <c r="H181" s="4"/>
      <c r="I181" s="4"/>
      <c r="J181" s="55"/>
    </row>
    <row r="182" spans="1:10" x14ac:dyDescent="0.2">
      <c r="A182" s="4"/>
      <c r="B182" s="4"/>
      <c r="C182" s="4"/>
      <c r="G182" s="4"/>
      <c r="H182" s="4"/>
      <c r="I182" s="4"/>
      <c r="J182" s="55"/>
    </row>
    <row r="183" spans="1:10" x14ac:dyDescent="0.2">
      <c r="A183" s="4"/>
      <c r="B183" s="4"/>
      <c r="C183" s="4"/>
      <c r="G183" s="4"/>
      <c r="H183" s="4"/>
      <c r="I183" s="4"/>
      <c r="J183" s="55"/>
    </row>
    <row r="184" spans="1:10" x14ac:dyDescent="0.2">
      <c r="A184" s="4"/>
      <c r="B184" s="4"/>
      <c r="C184" s="4"/>
      <c r="G184" s="4"/>
      <c r="H184" s="4"/>
      <c r="I184" s="4"/>
      <c r="J184" s="55"/>
    </row>
    <row r="185" spans="1:10" x14ac:dyDescent="0.2">
      <c r="A185" s="4"/>
      <c r="B185" s="4"/>
      <c r="C185" s="4"/>
      <c r="G185" s="4"/>
      <c r="H185" s="4"/>
      <c r="I185" s="4"/>
      <c r="J185" s="55"/>
    </row>
    <row r="186" spans="1:10" x14ac:dyDescent="0.2">
      <c r="A186" s="4"/>
      <c r="B186" s="4"/>
      <c r="C186" s="4"/>
      <c r="G186" s="4"/>
      <c r="H186" s="4"/>
      <c r="I186" s="4"/>
      <c r="J186" s="55"/>
    </row>
    <row r="187" spans="1:10" x14ac:dyDescent="0.2">
      <c r="A187" s="4"/>
      <c r="B187" s="4"/>
      <c r="C187" s="4"/>
      <c r="G187" s="4"/>
      <c r="H187" s="4"/>
      <c r="I187" s="4"/>
      <c r="J187" s="55"/>
    </row>
    <row r="188" spans="1:10" x14ac:dyDescent="0.2">
      <c r="A188" s="4"/>
      <c r="B188" s="4"/>
      <c r="C188" s="4"/>
      <c r="G188" s="4"/>
      <c r="H188" s="4"/>
      <c r="I188" s="4"/>
      <c r="J188" s="55"/>
    </row>
    <row r="189" spans="1:10" x14ac:dyDescent="0.2">
      <c r="A189" s="4"/>
      <c r="B189" s="4"/>
      <c r="C189" s="4"/>
      <c r="G189" s="4"/>
      <c r="H189" s="4"/>
      <c r="I189" s="4"/>
      <c r="J189" s="55"/>
    </row>
    <row r="190" spans="1:10" x14ac:dyDescent="0.2">
      <c r="A190" s="4"/>
      <c r="B190" s="4"/>
      <c r="C190" s="4"/>
      <c r="G190" s="4"/>
      <c r="H190" s="4"/>
      <c r="I190" s="4"/>
      <c r="J190" s="55"/>
    </row>
    <row r="191" spans="1:10" x14ac:dyDescent="0.2">
      <c r="A191" s="4"/>
      <c r="B191" s="4"/>
      <c r="C191" s="4"/>
      <c r="G191" s="4"/>
      <c r="H191" s="4"/>
      <c r="I191" s="4"/>
      <c r="J191" s="55"/>
    </row>
    <row r="192" spans="1:10" x14ac:dyDescent="0.2">
      <c r="A192" s="4"/>
      <c r="B192" s="4"/>
      <c r="C192" s="4"/>
      <c r="G192" s="4"/>
      <c r="H192" s="4"/>
      <c r="I192" s="4"/>
      <c r="J192" s="55"/>
    </row>
    <row r="193" spans="1:10" x14ac:dyDescent="0.2">
      <c r="A193" s="4"/>
      <c r="B193" s="4"/>
      <c r="C193" s="4"/>
      <c r="G193" s="4"/>
      <c r="H193" s="4"/>
      <c r="I193" s="4"/>
      <c r="J193" s="55"/>
    </row>
    <row r="194" spans="1:10" x14ac:dyDescent="0.2">
      <c r="A194" s="4"/>
      <c r="B194" s="4"/>
      <c r="C194" s="4"/>
      <c r="G194" s="4"/>
      <c r="H194" s="4"/>
      <c r="I194" s="4"/>
      <c r="J194" s="55"/>
    </row>
    <row r="195" spans="1:10" x14ac:dyDescent="0.2">
      <c r="A195" s="4"/>
      <c r="B195" s="4"/>
      <c r="C195" s="4"/>
      <c r="G195" s="4"/>
      <c r="H195" s="4"/>
      <c r="I195" s="4"/>
      <c r="J195" s="55"/>
    </row>
    <row r="196" spans="1:10" x14ac:dyDescent="0.2">
      <c r="A196" s="4"/>
      <c r="B196" s="4"/>
      <c r="C196" s="4"/>
      <c r="G196" s="4"/>
      <c r="H196" s="4"/>
      <c r="I196" s="4"/>
      <c r="J196" s="55"/>
    </row>
    <row r="197" spans="1:10" x14ac:dyDescent="0.2">
      <c r="A197" s="4"/>
      <c r="B197" s="4"/>
      <c r="C197" s="4"/>
      <c r="G197" s="4"/>
      <c r="H197" s="4"/>
      <c r="I197" s="4"/>
      <c r="J197" s="55"/>
    </row>
    <row r="198" spans="1:10" x14ac:dyDescent="0.2">
      <c r="A198" s="4"/>
      <c r="B198" s="4"/>
      <c r="C198" s="4"/>
      <c r="G198" s="4"/>
      <c r="H198" s="4"/>
      <c r="I198" s="4"/>
      <c r="J198" s="55"/>
    </row>
    <row r="199" spans="1:10" x14ac:dyDescent="0.2">
      <c r="A199" s="4"/>
      <c r="B199" s="4"/>
      <c r="C199" s="4"/>
      <c r="G199" s="4"/>
      <c r="H199" s="4"/>
      <c r="I199" s="4"/>
      <c r="J199" s="55"/>
    </row>
    <row r="200" spans="1:10" x14ac:dyDescent="0.2">
      <c r="A200" s="4"/>
      <c r="B200" s="4"/>
      <c r="C200" s="4"/>
      <c r="G200" s="4"/>
      <c r="H200" s="4"/>
      <c r="I200" s="4"/>
      <c r="J200" s="55"/>
    </row>
  </sheetData>
  <conditionalFormatting sqref="B2:B32 B41:B200">
    <cfRule type="expression" dxfId="21" priority="1">
      <formula>$B2="Tier 1"</formula>
    </cfRule>
    <cfRule type="expression" dxfId="20" priority="2">
      <formula>$B2="Tier 2"</formula>
    </cfRule>
    <cfRule type="expression" dxfId="19" priority="3">
      <formula>$B2="Tier 3"</formula>
    </cfRule>
    <cfRule type="expression" dxfId="18" priority="4">
      <formula>$B2="Tier 4"</formula>
    </cfRule>
    <cfRule type="expression" dxfId="17" priority="7">
      <formula>$B2="Blocked"</formula>
    </cfRule>
  </conditionalFormatting>
  <conditionalFormatting sqref="I2:I32 I41:I200">
    <cfRule type="expression" dxfId="16" priority="5">
      <formula>AND(ISNUMBER($I2),$I2&lt;=7)</formula>
    </cfRule>
    <cfRule type="expression" dxfId="15" priority="6">
      <formula>AND(ISNUMBER($I2),$I2&gt;=8,$I2&lt;=21)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D306-6A92-FD44-9641-F7A8FC9E2C9E}">
  <dimension ref="A1:U572"/>
  <sheetViews>
    <sheetView tabSelected="1" workbookViewId="0">
      <pane xSplit="4" ySplit="1" topLeftCell="M2" activePane="bottomRight" state="frozen"/>
      <selection pane="topRight" activeCell="E1" sqref="E1"/>
      <selection pane="bottomLeft" activeCell="A2" sqref="A2"/>
      <selection pane="bottomRight" activeCell="Q5" sqref="Q5"/>
    </sheetView>
  </sheetViews>
  <sheetFormatPr baseColWidth="10" defaultRowHeight="16" outlineLevelCol="1" x14ac:dyDescent="0.2"/>
  <cols>
    <col min="1" max="1" width="9.6640625" customWidth="1"/>
    <col min="2" max="2" width="12" customWidth="1"/>
    <col min="3" max="3" width="15.33203125" customWidth="1"/>
    <col min="4" max="4" width="41.6640625" customWidth="1"/>
    <col min="5" max="5" width="25" customWidth="1"/>
    <col min="6" max="6" width="15.33203125" customWidth="1"/>
    <col min="7" max="7" width="14.6640625" customWidth="1"/>
    <col min="8" max="8" width="15.33203125" customWidth="1"/>
    <col min="9" max="9" width="12.33203125" customWidth="1"/>
    <col min="10" max="10" width="15.33203125" customWidth="1"/>
    <col min="11" max="12" width="25" customWidth="1" outlineLevel="1"/>
    <col min="13" max="13" width="16" customWidth="1" outlineLevel="1"/>
    <col min="14" max="15" width="25" customWidth="1" outlineLevel="1"/>
    <col min="16" max="16" width="18.33203125" customWidth="1" outlineLevel="1"/>
    <col min="17" max="17" width="28.33203125" customWidth="1"/>
    <col min="18" max="18" width="31.6640625" customWidth="1"/>
    <col min="19" max="19" width="16.6640625" customWidth="1"/>
    <col min="20" max="20" width="16" customWidth="1"/>
    <col min="21" max="21" width="33.33203125" customWidth="1"/>
  </cols>
  <sheetData>
    <row r="1" spans="1:21" ht="34" customHeight="1" x14ac:dyDescent="0.2">
      <c r="A1" s="11" t="s">
        <v>0</v>
      </c>
      <c r="B1" s="11" t="s">
        <v>1</v>
      </c>
      <c r="C1" s="11" t="s">
        <v>2</v>
      </c>
      <c r="D1" s="11" t="s">
        <v>3</v>
      </c>
      <c r="E1" s="11" t="s">
        <v>4</v>
      </c>
      <c r="F1" s="11" t="s">
        <v>5</v>
      </c>
      <c r="G1" s="11" t="s">
        <v>6</v>
      </c>
      <c r="H1" s="11" t="s">
        <v>7</v>
      </c>
      <c r="I1" s="11" t="s">
        <v>8</v>
      </c>
      <c r="J1" s="11" t="s">
        <v>3324</v>
      </c>
      <c r="K1" s="11" t="s">
        <v>10</v>
      </c>
      <c r="L1" s="11" t="s">
        <v>11</v>
      </c>
      <c r="M1" s="11" t="s">
        <v>12</v>
      </c>
      <c r="N1" s="11" t="s">
        <v>13</v>
      </c>
      <c r="O1" s="11" t="s">
        <v>14</v>
      </c>
      <c r="P1" s="11" t="s">
        <v>15</v>
      </c>
      <c r="Q1" s="11" t="s">
        <v>16</v>
      </c>
      <c r="R1" s="11" t="s">
        <v>17</v>
      </c>
      <c r="S1" s="11" t="s">
        <v>3320</v>
      </c>
      <c r="T1" s="11" t="s">
        <v>3321</v>
      </c>
      <c r="U1" s="11" t="s">
        <v>3322</v>
      </c>
    </row>
    <row r="2" spans="1:21" x14ac:dyDescent="0.2">
      <c r="A2" s="8">
        <v>4.6100000000000003</v>
      </c>
      <c r="B2" s="5" t="s">
        <v>1787</v>
      </c>
      <c r="C2" s="5" t="s">
        <v>101</v>
      </c>
      <c r="D2" s="6" t="s">
        <v>2153</v>
      </c>
      <c r="E2" s="6" t="s">
        <v>2154</v>
      </c>
      <c r="F2" s="6" t="s">
        <v>33</v>
      </c>
      <c r="G2" s="5" t="s">
        <v>104</v>
      </c>
      <c r="H2" s="9">
        <v>46143</v>
      </c>
      <c r="I2" s="5">
        <v>-105</v>
      </c>
      <c r="J2" s="54">
        <v>0</v>
      </c>
      <c r="K2" s="6" t="s">
        <v>2155</v>
      </c>
      <c r="L2" s="6" t="s">
        <v>2156</v>
      </c>
      <c r="M2" s="6" t="b">
        <v>0</v>
      </c>
      <c r="N2" s="6" t="s">
        <v>2157</v>
      </c>
      <c r="O2" s="6" t="s">
        <v>2158</v>
      </c>
      <c r="P2" s="6" t="s">
        <v>38</v>
      </c>
      <c r="Q2" s="6" t="s">
        <v>2159</v>
      </c>
      <c r="R2" s="6" t="s">
        <v>110</v>
      </c>
      <c r="S2" s="5" t="s">
        <v>3323</v>
      </c>
      <c r="T2" s="10"/>
      <c r="U2" s="6"/>
    </row>
    <row r="3" spans="1:21" x14ac:dyDescent="0.2">
      <c r="A3" s="8">
        <v>3.9</v>
      </c>
      <c r="B3" s="5" t="s">
        <v>1787</v>
      </c>
      <c r="C3" s="5" t="s">
        <v>101</v>
      </c>
      <c r="D3" s="6" t="s">
        <v>2622</v>
      </c>
      <c r="E3" s="6" t="s">
        <v>2623</v>
      </c>
      <c r="F3" s="6" t="s">
        <v>33</v>
      </c>
      <c r="G3" s="5" t="s">
        <v>104</v>
      </c>
      <c r="H3" s="9">
        <v>46243</v>
      </c>
      <c r="I3" s="5">
        <v>-5</v>
      </c>
      <c r="J3" s="54">
        <v>0</v>
      </c>
      <c r="K3" s="6" t="s">
        <v>1439</v>
      </c>
      <c r="L3" s="6" t="s">
        <v>2624</v>
      </c>
      <c r="M3" s="6" t="b">
        <v>0</v>
      </c>
      <c r="N3" s="6" t="s">
        <v>1440</v>
      </c>
      <c r="O3" s="6" t="s">
        <v>2625</v>
      </c>
      <c r="P3" s="6"/>
      <c r="Q3" s="6" t="s">
        <v>2626</v>
      </c>
      <c r="R3" s="6" t="s">
        <v>110</v>
      </c>
      <c r="S3" s="5" t="s">
        <v>3323</v>
      </c>
      <c r="T3" s="10"/>
      <c r="U3" s="6"/>
    </row>
    <row r="4" spans="1:21" x14ac:dyDescent="0.2">
      <c r="A4" s="8">
        <v>4.34</v>
      </c>
      <c r="B4" s="5" t="s">
        <v>1787</v>
      </c>
      <c r="C4" s="5" t="s">
        <v>101</v>
      </c>
      <c r="D4" s="6" t="s">
        <v>2355</v>
      </c>
      <c r="E4" s="6" t="s">
        <v>2356</v>
      </c>
      <c r="F4" s="6" t="s">
        <v>33</v>
      </c>
      <c r="G4" s="5" t="s">
        <v>104</v>
      </c>
      <c r="H4" s="9">
        <v>46246</v>
      </c>
      <c r="I4" s="5">
        <v>-2</v>
      </c>
      <c r="J4" s="54">
        <v>0</v>
      </c>
      <c r="K4" s="6" t="s">
        <v>1198</v>
      </c>
      <c r="L4" s="6" t="s">
        <v>549</v>
      </c>
      <c r="M4" s="6" t="b">
        <v>0</v>
      </c>
      <c r="N4" s="6" t="s">
        <v>805</v>
      </c>
      <c r="O4" s="6" t="s">
        <v>2357</v>
      </c>
      <c r="P4" s="6" t="s">
        <v>38</v>
      </c>
      <c r="Q4" s="6" t="s">
        <v>2358</v>
      </c>
      <c r="R4" s="6" t="s">
        <v>110</v>
      </c>
      <c r="S4" s="5" t="s">
        <v>3323</v>
      </c>
      <c r="T4" s="10"/>
      <c r="U4" s="6"/>
    </row>
    <row r="5" spans="1:21" x14ac:dyDescent="0.2">
      <c r="A5" s="8">
        <v>6.86</v>
      </c>
      <c r="B5" s="5" t="s">
        <v>154</v>
      </c>
      <c r="C5" s="5" t="s">
        <v>101</v>
      </c>
      <c r="D5" s="6" t="s">
        <v>252</v>
      </c>
      <c r="E5" s="6" t="s">
        <v>253</v>
      </c>
      <c r="F5" s="6" t="s">
        <v>22</v>
      </c>
      <c r="G5" s="5" t="s">
        <v>104</v>
      </c>
      <c r="H5" s="9">
        <v>46248</v>
      </c>
      <c r="I5" s="5">
        <v>0</v>
      </c>
      <c r="J5" s="54">
        <v>2000000</v>
      </c>
      <c r="K5" s="6" t="s">
        <v>105</v>
      </c>
      <c r="L5" s="6" t="s">
        <v>254</v>
      </c>
      <c r="M5" s="6" t="b">
        <v>0</v>
      </c>
      <c r="N5" s="6" t="s">
        <v>255</v>
      </c>
      <c r="O5" s="6" t="s">
        <v>243</v>
      </c>
      <c r="P5" s="6" t="s">
        <v>38</v>
      </c>
      <c r="Q5" s="63" t="s">
        <v>256</v>
      </c>
      <c r="R5" s="6" t="s">
        <v>110</v>
      </c>
      <c r="S5" s="5" t="s">
        <v>3323</v>
      </c>
      <c r="T5" s="10"/>
      <c r="U5" s="6"/>
    </row>
    <row r="6" spans="1:21" x14ac:dyDescent="0.2">
      <c r="A6" s="8">
        <v>7.34</v>
      </c>
      <c r="B6" s="5" t="s">
        <v>18</v>
      </c>
      <c r="C6" s="5" t="s">
        <v>19</v>
      </c>
      <c r="D6" s="6" t="s">
        <v>63</v>
      </c>
      <c r="E6" s="6" t="s">
        <v>64</v>
      </c>
      <c r="F6" s="6" t="s">
        <v>33</v>
      </c>
      <c r="G6" s="5" t="s">
        <v>23</v>
      </c>
      <c r="H6" s="9">
        <v>46250</v>
      </c>
      <c r="I6" s="5">
        <v>2</v>
      </c>
      <c r="J6" s="54">
        <v>27250</v>
      </c>
      <c r="K6" s="6" t="s">
        <v>65</v>
      </c>
      <c r="L6" s="6" t="s">
        <v>66</v>
      </c>
      <c r="M6" s="6" t="b">
        <v>0</v>
      </c>
      <c r="N6" s="6" t="s">
        <v>67</v>
      </c>
      <c r="O6" s="6" t="s">
        <v>68</v>
      </c>
      <c r="P6" s="6" t="s">
        <v>38</v>
      </c>
      <c r="Q6" s="6" t="s">
        <v>69</v>
      </c>
      <c r="R6" s="6" t="s">
        <v>70</v>
      </c>
      <c r="S6" t="s">
        <v>3352</v>
      </c>
      <c r="T6" t="s">
        <v>3353</v>
      </c>
      <c r="U6" t="s">
        <v>3354</v>
      </c>
    </row>
    <row r="7" spans="1:21" x14ac:dyDescent="0.2">
      <c r="A7" s="8">
        <v>6.74</v>
      </c>
      <c r="B7" s="5" t="s">
        <v>154</v>
      </c>
      <c r="C7" t="s">
        <v>3355</v>
      </c>
      <c r="D7" s="6" t="s">
        <v>310</v>
      </c>
      <c r="E7" s="6" t="s">
        <v>127</v>
      </c>
      <c r="F7" s="6" t="s">
        <v>33</v>
      </c>
      <c r="G7" s="5" t="s">
        <v>23</v>
      </c>
      <c r="H7" s="9">
        <v>46250</v>
      </c>
      <c r="I7" s="5">
        <v>2</v>
      </c>
      <c r="J7" s="54">
        <v>100000</v>
      </c>
      <c r="K7" s="6" t="s">
        <v>311</v>
      </c>
      <c r="L7" s="6" t="s">
        <v>312</v>
      </c>
      <c r="M7" s="6" t="b">
        <v>0</v>
      </c>
      <c r="N7" s="6" t="s">
        <v>313</v>
      </c>
      <c r="O7" s="6" t="s">
        <v>314</v>
      </c>
      <c r="P7" s="6" t="s">
        <v>28</v>
      </c>
      <c r="Q7" s="6" t="s">
        <v>315</v>
      </c>
      <c r="R7" s="6" t="s">
        <v>70</v>
      </c>
      <c r="S7" t="s">
        <v>3356</v>
      </c>
      <c r="T7" s="10"/>
      <c r="U7" t="s">
        <v>3357</v>
      </c>
    </row>
    <row r="8" spans="1:21" x14ac:dyDescent="0.2">
      <c r="A8" s="8">
        <v>7.39</v>
      </c>
      <c r="B8" s="5" t="s">
        <v>18</v>
      </c>
      <c r="C8" s="5" t="s">
        <v>19</v>
      </c>
      <c r="D8" s="6" t="s">
        <v>40</v>
      </c>
      <c r="E8" s="6" t="s">
        <v>41</v>
      </c>
      <c r="F8" s="6" t="s">
        <v>42</v>
      </c>
      <c r="G8" s="5" t="s">
        <v>23</v>
      </c>
      <c r="H8" s="9">
        <v>46255</v>
      </c>
      <c r="I8" s="5">
        <v>7</v>
      </c>
      <c r="J8" s="54">
        <v>135000</v>
      </c>
      <c r="K8" s="6" t="s">
        <v>43</v>
      </c>
      <c r="L8" s="6" t="s">
        <v>44</v>
      </c>
      <c r="M8" s="6" t="b">
        <v>0</v>
      </c>
      <c r="N8" s="6" t="s">
        <v>45</v>
      </c>
      <c r="O8" s="6" t="s">
        <v>46</v>
      </c>
      <c r="P8" s="6" t="s">
        <v>38</v>
      </c>
      <c r="Q8" s="6" t="s">
        <v>47</v>
      </c>
      <c r="R8" s="6" t="s">
        <v>48</v>
      </c>
      <c r="S8" s="5" t="s">
        <v>3323</v>
      </c>
      <c r="T8" s="10"/>
      <c r="U8" s="6"/>
    </row>
    <row r="9" spans="1:21" x14ac:dyDescent="0.2">
      <c r="A9" s="8">
        <v>7.19</v>
      </c>
      <c r="B9" s="5" t="s">
        <v>18</v>
      </c>
      <c r="C9" s="5" t="s">
        <v>101</v>
      </c>
      <c r="D9" s="6" t="s">
        <v>102</v>
      </c>
      <c r="E9" s="6" t="s">
        <v>103</v>
      </c>
      <c r="F9" s="6" t="s">
        <v>22</v>
      </c>
      <c r="G9" s="5" t="s">
        <v>104</v>
      </c>
      <c r="H9" s="9">
        <v>46255</v>
      </c>
      <c r="I9" s="5">
        <v>7</v>
      </c>
      <c r="J9" s="54">
        <v>1000000</v>
      </c>
      <c r="K9" s="6" t="s">
        <v>105</v>
      </c>
      <c r="L9" s="6" t="s">
        <v>106</v>
      </c>
      <c r="M9" s="6" t="b">
        <v>0</v>
      </c>
      <c r="N9" s="6" t="s">
        <v>107</v>
      </c>
      <c r="O9" s="6" t="s">
        <v>108</v>
      </c>
      <c r="P9" s="6" t="s">
        <v>38</v>
      </c>
      <c r="Q9" s="6" t="s">
        <v>109</v>
      </c>
      <c r="R9" s="6" t="s">
        <v>110</v>
      </c>
      <c r="S9" s="5" t="s">
        <v>3323</v>
      </c>
      <c r="T9" s="10"/>
      <c r="U9" s="6"/>
    </row>
    <row r="10" spans="1:21" x14ac:dyDescent="0.2">
      <c r="A10" s="8">
        <v>6.75</v>
      </c>
      <c r="B10" s="5" t="s">
        <v>154</v>
      </c>
      <c r="C10" s="5" t="s">
        <v>19</v>
      </c>
      <c r="D10" s="6" t="s">
        <v>303</v>
      </c>
      <c r="E10" s="6" t="s">
        <v>304</v>
      </c>
      <c r="F10" s="6" t="s">
        <v>33</v>
      </c>
      <c r="G10" s="5" t="s">
        <v>23</v>
      </c>
      <c r="H10" s="9">
        <v>46255</v>
      </c>
      <c r="I10" s="5">
        <v>7</v>
      </c>
      <c r="J10" s="54">
        <v>67500</v>
      </c>
      <c r="K10" s="6" t="s">
        <v>305</v>
      </c>
      <c r="L10" s="6" t="s">
        <v>306</v>
      </c>
      <c r="M10" s="6" t="b">
        <v>0</v>
      </c>
      <c r="N10" s="6" t="s">
        <v>307</v>
      </c>
      <c r="O10" s="6" t="s">
        <v>308</v>
      </c>
      <c r="P10" s="6" t="s">
        <v>28</v>
      </c>
      <c r="Q10" s="6" t="s">
        <v>309</v>
      </c>
      <c r="R10" s="6" t="s">
        <v>48</v>
      </c>
      <c r="S10" s="5" t="s">
        <v>3323</v>
      </c>
      <c r="T10" s="10"/>
      <c r="U10" s="6"/>
    </row>
    <row r="11" spans="1:21" x14ac:dyDescent="0.2">
      <c r="A11" s="8">
        <v>6.49</v>
      </c>
      <c r="B11" s="5" t="s">
        <v>154</v>
      </c>
      <c r="C11" s="5" t="s">
        <v>19</v>
      </c>
      <c r="D11" s="6" t="s">
        <v>420</v>
      </c>
      <c r="E11" s="6" t="s">
        <v>304</v>
      </c>
      <c r="F11" s="6" t="s">
        <v>33</v>
      </c>
      <c r="G11" s="5" t="s">
        <v>23</v>
      </c>
      <c r="H11" s="9">
        <v>46255</v>
      </c>
      <c r="I11" s="5">
        <v>7</v>
      </c>
      <c r="J11" s="54">
        <v>67500</v>
      </c>
      <c r="K11" s="6" t="s">
        <v>421</v>
      </c>
      <c r="L11" s="6" t="s">
        <v>422</v>
      </c>
      <c r="M11" s="6" t="b">
        <v>0</v>
      </c>
      <c r="N11" s="6" t="s">
        <v>423</v>
      </c>
      <c r="O11" s="6" t="s">
        <v>424</v>
      </c>
      <c r="P11" s="6" t="s">
        <v>28</v>
      </c>
      <c r="Q11" s="6" t="s">
        <v>309</v>
      </c>
      <c r="R11" s="6" t="s">
        <v>48</v>
      </c>
      <c r="S11" s="5" t="s">
        <v>3323</v>
      </c>
      <c r="T11" s="10"/>
      <c r="U11" s="6"/>
    </row>
    <row r="12" spans="1:21" x14ac:dyDescent="0.2">
      <c r="A12" s="8">
        <v>6.2</v>
      </c>
      <c r="B12" s="5" t="s">
        <v>154</v>
      </c>
      <c r="C12" s="5" t="s">
        <v>19</v>
      </c>
      <c r="D12" s="6" t="s">
        <v>644</v>
      </c>
      <c r="E12" s="6" t="s">
        <v>645</v>
      </c>
      <c r="F12" s="6" t="s">
        <v>427</v>
      </c>
      <c r="G12" s="5" t="s">
        <v>23</v>
      </c>
      <c r="H12" s="9">
        <v>46255</v>
      </c>
      <c r="I12" s="5">
        <v>7</v>
      </c>
      <c r="J12" s="54">
        <v>0</v>
      </c>
      <c r="K12" s="6" t="s">
        <v>646</v>
      </c>
      <c r="L12" s="6" t="s">
        <v>549</v>
      </c>
      <c r="M12" s="6" t="b">
        <v>0</v>
      </c>
      <c r="N12" s="6" t="s">
        <v>647</v>
      </c>
      <c r="O12" s="6" t="s">
        <v>648</v>
      </c>
      <c r="P12" s="6" t="s">
        <v>38</v>
      </c>
      <c r="Q12" s="6" t="s">
        <v>649</v>
      </c>
      <c r="R12" s="6" t="s">
        <v>48</v>
      </c>
      <c r="S12" s="5" t="s">
        <v>3323</v>
      </c>
      <c r="T12" s="10"/>
      <c r="U12" s="6"/>
    </row>
    <row r="13" spans="1:21" x14ac:dyDescent="0.2">
      <c r="A13" s="8">
        <v>6.54</v>
      </c>
      <c r="B13" s="5" t="s">
        <v>154</v>
      </c>
      <c r="C13" s="5" t="s">
        <v>19</v>
      </c>
      <c r="D13" s="6" t="s">
        <v>405</v>
      </c>
      <c r="E13" s="6" t="s">
        <v>406</v>
      </c>
      <c r="F13" s="6" t="s">
        <v>33</v>
      </c>
      <c r="G13" s="5" t="s">
        <v>23</v>
      </c>
      <c r="H13" s="9">
        <v>46257</v>
      </c>
      <c r="I13" s="5">
        <v>9</v>
      </c>
      <c r="J13" s="54">
        <v>0</v>
      </c>
      <c r="K13" s="6" t="s">
        <v>407</v>
      </c>
      <c r="L13" s="6" t="s">
        <v>408</v>
      </c>
      <c r="M13" s="6" t="b">
        <v>0</v>
      </c>
      <c r="N13" s="6" t="s">
        <v>409</v>
      </c>
      <c r="O13" s="6" t="s">
        <v>410</v>
      </c>
      <c r="P13" s="6" t="s">
        <v>28</v>
      </c>
      <c r="Q13" s="6" t="s">
        <v>411</v>
      </c>
      <c r="R13" s="6" t="s">
        <v>412</v>
      </c>
      <c r="S13" s="5" t="s">
        <v>3323</v>
      </c>
      <c r="T13" s="10"/>
      <c r="U13" s="6"/>
    </row>
    <row r="14" spans="1:21" x14ac:dyDescent="0.2">
      <c r="A14" s="8">
        <v>5.77</v>
      </c>
      <c r="B14" s="5" t="s">
        <v>856</v>
      </c>
      <c r="C14" s="5" t="s">
        <v>19</v>
      </c>
      <c r="D14" s="6" t="s">
        <v>1064</v>
      </c>
      <c r="E14" s="6" t="s">
        <v>1065</v>
      </c>
      <c r="F14" s="6" t="s">
        <v>427</v>
      </c>
      <c r="G14" s="5" t="s">
        <v>23</v>
      </c>
      <c r="H14" s="9">
        <v>46258</v>
      </c>
      <c r="I14" s="5">
        <v>10</v>
      </c>
      <c r="J14" s="54">
        <v>0</v>
      </c>
      <c r="K14" s="6" t="s">
        <v>274</v>
      </c>
      <c r="L14" s="6" t="s">
        <v>549</v>
      </c>
      <c r="M14" s="6" t="b">
        <v>0</v>
      </c>
      <c r="N14" s="6" t="s">
        <v>1066</v>
      </c>
      <c r="O14" s="6" t="s">
        <v>1067</v>
      </c>
      <c r="P14" s="6" t="s">
        <v>38</v>
      </c>
      <c r="Q14" s="6" t="s">
        <v>1068</v>
      </c>
      <c r="R14" s="6" t="s">
        <v>1069</v>
      </c>
      <c r="S14" s="5" t="s">
        <v>3323</v>
      </c>
      <c r="T14" s="10"/>
      <c r="U14" s="6"/>
    </row>
    <row r="15" spans="1:21" x14ac:dyDescent="0.2">
      <c r="A15" s="8">
        <v>5.83</v>
      </c>
      <c r="B15" s="5" t="s">
        <v>856</v>
      </c>
      <c r="C15" s="5" t="s">
        <v>19</v>
      </c>
      <c r="D15" s="6" t="s">
        <v>1013</v>
      </c>
      <c r="E15" s="6" t="s">
        <v>1014</v>
      </c>
      <c r="F15" s="6" t="s">
        <v>22</v>
      </c>
      <c r="G15" s="5" t="s">
        <v>23</v>
      </c>
      <c r="H15" s="9">
        <v>46259</v>
      </c>
      <c r="I15" s="5">
        <v>11</v>
      </c>
      <c r="J15" s="54">
        <v>0</v>
      </c>
      <c r="K15" s="6" t="s">
        <v>1015</v>
      </c>
      <c r="L15" s="6" t="s">
        <v>1016</v>
      </c>
      <c r="M15" s="6" t="b">
        <v>0</v>
      </c>
      <c r="N15" s="6" t="s">
        <v>1017</v>
      </c>
      <c r="O15" s="6" t="s">
        <v>1018</v>
      </c>
      <c r="P15" s="6" t="s">
        <v>1019</v>
      </c>
      <c r="Q15" s="6" t="s">
        <v>1020</v>
      </c>
      <c r="R15" s="6" t="s">
        <v>1021</v>
      </c>
      <c r="S15" s="5" t="s">
        <v>3323</v>
      </c>
      <c r="T15" s="10"/>
      <c r="U15" s="6"/>
    </row>
    <row r="16" spans="1:21" x14ac:dyDescent="0.2">
      <c r="A16" s="8">
        <v>4.97</v>
      </c>
      <c r="B16" s="5" t="s">
        <v>1787</v>
      </c>
      <c r="C16" s="5" t="s">
        <v>101</v>
      </c>
      <c r="D16" s="6" t="s">
        <v>1827</v>
      </c>
      <c r="E16" s="6" t="s">
        <v>1828</v>
      </c>
      <c r="F16" s="6" t="s">
        <v>33</v>
      </c>
      <c r="G16" s="5" t="s">
        <v>104</v>
      </c>
      <c r="H16" s="9">
        <v>46259</v>
      </c>
      <c r="I16" s="5">
        <v>11</v>
      </c>
      <c r="J16" s="54">
        <v>0</v>
      </c>
      <c r="K16" s="6" t="s">
        <v>1829</v>
      </c>
      <c r="L16" s="6" t="s">
        <v>549</v>
      </c>
      <c r="M16" s="6" t="b">
        <v>0</v>
      </c>
      <c r="N16" s="6" t="s">
        <v>805</v>
      </c>
      <c r="O16" s="6" t="s">
        <v>1830</v>
      </c>
      <c r="P16" s="6" t="s">
        <v>38</v>
      </c>
      <c r="Q16" s="6" t="s">
        <v>1831</v>
      </c>
      <c r="R16" s="6" t="s">
        <v>110</v>
      </c>
      <c r="S16" s="5" t="s">
        <v>3323</v>
      </c>
      <c r="T16" s="10"/>
      <c r="U16" s="6"/>
    </row>
    <row r="17" spans="1:21" x14ac:dyDescent="0.2">
      <c r="A17" s="8">
        <v>6.49</v>
      </c>
      <c r="B17" s="5" t="s">
        <v>154</v>
      </c>
      <c r="C17" s="5" t="s">
        <v>19</v>
      </c>
      <c r="D17" s="6" t="s">
        <v>433</v>
      </c>
      <c r="E17" s="6" t="s">
        <v>434</v>
      </c>
      <c r="F17" s="6" t="s">
        <v>427</v>
      </c>
      <c r="G17" s="5" t="s">
        <v>23</v>
      </c>
      <c r="H17" s="9">
        <v>46262</v>
      </c>
      <c r="I17" s="5">
        <v>14</v>
      </c>
      <c r="J17" s="54">
        <v>0</v>
      </c>
      <c r="K17" s="6" t="s">
        <v>435</v>
      </c>
      <c r="L17" s="6" t="s">
        <v>436</v>
      </c>
      <c r="M17" s="6" t="b">
        <v>0</v>
      </c>
      <c r="N17" s="6" t="s">
        <v>437</v>
      </c>
      <c r="O17" s="6" t="s">
        <v>438</v>
      </c>
      <c r="P17" s="6" t="s">
        <v>38</v>
      </c>
      <c r="Q17" s="6" t="s">
        <v>439</v>
      </c>
      <c r="R17" s="6" t="s">
        <v>440</v>
      </c>
      <c r="S17" s="5" t="s">
        <v>3323</v>
      </c>
      <c r="T17" s="10"/>
      <c r="U17" s="6"/>
    </row>
    <row r="18" spans="1:21" x14ac:dyDescent="0.2">
      <c r="A18" s="8">
        <v>6.9</v>
      </c>
      <c r="B18" s="5" t="s">
        <v>154</v>
      </c>
      <c r="C18" s="5" t="s">
        <v>19</v>
      </c>
      <c r="D18" s="6" t="s">
        <v>218</v>
      </c>
      <c r="E18" s="6" t="s">
        <v>219</v>
      </c>
      <c r="F18" s="6" t="s">
        <v>73</v>
      </c>
      <c r="G18" s="5" t="s">
        <v>23</v>
      </c>
      <c r="H18" s="9">
        <v>46264</v>
      </c>
      <c r="I18" s="5">
        <v>16</v>
      </c>
      <c r="J18" s="54">
        <v>3000000</v>
      </c>
      <c r="K18" s="6" t="s">
        <v>220</v>
      </c>
      <c r="L18" s="6" t="s">
        <v>221</v>
      </c>
      <c r="M18" s="6" t="b">
        <v>0</v>
      </c>
      <c r="N18" s="6" t="s">
        <v>222</v>
      </c>
      <c r="O18" s="6" t="s">
        <v>223</v>
      </c>
      <c r="P18" s="6" t="s">
        <v>38</v>
      </c>
      <c r="Q18" s="6" t="s">
        <v>224</v>
      </c>
      <c r="R18" s="6" t="s">
        <v>225</v>
      </c>
      <c r="S18" s="5" t="s">
        <v>3323</v>
      </c>
      <c r="T18" s="10"/>
      <c r="U18" s="6"/>
    </row>
    <row r="19" spans="1:21" x14ac:dyDescent="0.2">
      <c r="A19" s="8">
        <v>5.54</v>
      </c>
      <c r="B19" s="5" t="s">
        <v>856</v>
      </c>
      <c r="C19" s="5" t="s">
        <v>19</v>
      </c>
      <c r="D19" s="6" t="s">
        <v>1287</v>
      </c>
      <c r="E19" s="6" t="s">
        <v>1288</v>
      </c>
      <c r="F19" s="6" t="s">
        <v>73</v>
      </c>
      <c r="G19" s="5" t="s">
        <v>23</v>
      </c>
      <c r="H19" s="9">
        <v>46264</v>
      </c>
      <c r="I19" s="5">
        <v>16</v>
      </c>
      <c r="J19" s="54">
        <v>0</v>
      </c>
      <c r="K19" s="6" t="s">
        <v>1289</v>
      </c>
      <c r="L19" s="6" t="s">
        <v>1290</v>
      </c>
      <c r="M19" s="6" t="b">
        <v>0</v>
      </c>
      <c r="N19" s="6" t="s">
        <v>1291</v>
      </c>
      <c r="O19" s="6" t="s">
        <v>1292</v>
      </c>
      <c r="P19" s="6" t="s">
        <v>38</v>
      </c>
      <c r="Q19" s="6" t="s">
        <v>39</v>
      </c>
      <c r="R19" s="6" t="s">
        <v>225</v>
      </c>
      <c r="S19" s="5" t="s">
        <v>3323</v>
      </c>
      <c r="T19" s="10"/>
      <c r="U19" s="6"/>
    </row>
    <row r="20" spans="1:21" x14ac:dyDescent="0.2">
      <c r="A20" s="8">
        <v>6.94</v>
      </c>
      <c r="B20" s="5" t="s">
        <v>154</v>
      </c>
      <c r="C20" s="5" t="s">
        <v>19</v>
      </c>
      <c r="D20" s="6" t="s">
        <v>184</v>
      </c>
      <c r="E20" s="6" t="s">
        <v>185</v>
      </c>
      <c r="F20" s="6" t="s">
        <v>33</v>
      </c>
      <c r="G20" s="5" t="s">
        <v>23</v>
      </c>
      <c r="H20" s="9">
        <v>46265</v>
      </c>
      <c r="I20" s="5">
        <v>17</v>
      </c>
      <c r="J20" s="54">
        <v>0</v>
      </c>
      <c r="K20" s="6" t="s">
        <v>186</v>
      </c>
      <c r="L20" s="6" t="s">
        <v>187</v>
      </c>
      <c r="M20" s="6" t="b">
        <v>0</v>
      </c>
      <c r="N20" s="6" t="s">
        <v>188</v>
      </c>
      <c r="O20" s="6" t="s">
        <v>189</v>
      </c>
      <c r="P20" s="6" t="s">
        <v>28</v>
      </c>
      <c r="Q20" s="6" t="s">
        <v>190</v>
      </c>
      <c r="R20" s="6" t="s">
        <v>191</v>
      </c>
      <c r="S20" s="5" t="s">
        <v>3323</v>
      </c>
      <c r="T20" s="10"/>
      <c r="U20" s="6"/>
    </row>
    <row r="21" spans="1:21" x14ac:dyDescent="0.2">
      <c r="A21" s="8">
        <v>6.8</v>
      </c>
      <c r="B21" s="5" t="s">
        <v>154</v>
      </c>
      <c r="C21" s="5" t="s">
        <v>19</v>
      </c>
      <c r="D21" s="6" t="s">
        <v>276</v>
      </c>
      <c r="E21" s="6" t="s">
        <v>277</v>
      </c>
      <c r="F21" s="6" t="s">
        <v>33</v>
      </c>
      <c r="G21" s="5" t="s">
        <v>23</v>
      </c>
      <c r="H21" s="9">
        <v>46265</v>
      </c>
      <c r="I21" s="5">
        <v>17</v>
      </c>
      <c r="J21" s="54">
        <v>0</v>
      </c>
      <c r="K21" s="6" t="s">
        <v>278</v>
      </c>
      <c r="L21" s="6" t="s">
        <v>279</v>
      </c>
      <c r="M21" s="6" t="b">
        <v>0</v>
      </c>
      <c r="N21" s="6" t="s">
        <v>280</v>
      </c>
      <c r="O21" s="6" t="s">
        <v>281</v>
      </c>
      <c r="P21" s="6" t="s">
        <v>38</v>
      </c>
      <c r="Q21" s="6" t="s">
        <v>282</v>
      </c>
      <c r="R21" s="6" t="s">
        <v>191</v>
      </c>
      <c r="S21" s="5" t="s">
        <v>3323</v>
      </c>
      <c r="T21" s="10"/>
      <c r="U21" s="6"/>
    </row>
    <row r="22" spans="1:21" x14ac:dyDescent="0.2">
      <c r="A22" s="8">
        <v>6.29</v>
      </c>
      <c r="B22" s="5" t="s">
        <v>154</v>
      </c>
      <c r="C22" s="5" t="s">
        <v>19</v>
      </c>
      <c r="D22" s="6" t="s">
        <v>586</v>
      </c>
      <c r="E22" s="6" t="s">
        <v>502</v>
      </c>
      <c r="F22" s="6" t="s">
        <v>427</v>
      </c>
      <c r="G22" s="5" t="s">
        <v>23</v>
      </c>
      <c r="H22" s="9">
        <v>46265</v>
      </c>
      <c r="I22" s="5">
        <v>17</v>
      </c>
      <c r="J22" s="54">
        <v>0</v>
      </c>
      <c r="K22" s="6" t="s">
        <v>587</v>
      </c>
      <c r="L22" s="6" t="s">
        <v>588</v>
      </c>
      <c r="M22" s="6" t="b">
        <v>0</v>
      </c>
      <c r="N22" s="6" t="s">
        <v>589</v>
      </c>
      <c r="O22" s="6" t="s">
        <v>590</v>
      </c>
      <c r="P22" s="6"/>
      <c r="Q22" s="6" t="s">
        <v>591</v>
      </c>
      <c r="R22" s="6" t="s">
        <v>191</v>
      </c>
      <c r="S22" s="5" t="s">
        <v>3323</v>
      </c>
      <c r="T22" s="10"/>
      <c r="U22" s="6"/>
    </row>
    <row r="23" spans="1:21" x14ac:dyDescent="0.2">
      <c r="A23" s="8">
        <v>6.18</v>
      </c>
      <c r="B23" s="5" t="s">
        <v>154</v>
      </c>
      <c r="C23" s="5" t="s">
        <v>19</v>
      </c>
      <c r="D23" s="6" t="s">
        <v>663</v>
      </c>
      <c r="E23" s="6" t="s">
        <v>664</v>
      </c>
      <c r="F23" s="6" t="s">
        <v>33</v>
      </c>
      <c r="G23" s="5" t="s">
        <v>23</v>
      </c>
      <c r="H23" s="9">
        <v>46265</v>
      </c>
      <c r="I23" s="5">
        <v>17</v>
      </c>
      <c r="J23" s="54">
        <v>0</v>
      </c>
      <c r="K23" s="6" t="s">
        <v>435</v>
      </c>
      <c r="L23" s="6" t="s">
        <v>59</v>
      </c>
      <c r="M23" s="6" t="b">
        <v>0</v>
      </c>
      <c r="N23" s="6" t="s">
        <v>665</v>
      </c>
      <c r="O23" s="6" t="s">
        <v>666</v>
      </c>
      <c r="P23" s="6" t="s">
        <v>28</v>
      </c>
      <c r="Q23" s="6" t="s">
        <v>667</v>
      </c>
      <c r="R23" s="6" t="s">
        <v>191</v>
      </c>
      <c r="S23" s="5" t="s">
        <v>3323</v>
      </c>
      <c r="T23" s="10"/>
      <c r="U23" s="6"/>
    </row>
    <row r="24" spans="1:21" x14ac:dyDescent="0.2">
      <c r="A24" s="8">
        <v>6.02</v>
      </c>
      <c r="B24" s="5" t="s">
        <v>154</v>
      </c>
      <c r="C24" s="5" t="s">
        <v>19</v>
      </c>
      <c r="D24" s="6" t="s">
        <v>816</v>
      </c>
      <c r="E24" s="6" t="s">
        <v>134</v>
      </c>
      <c r="F24" s="6" t="s">
        <v>810</v>
      </c>
      <c r="G24" s="5" t="s">
        <v>23</v>
      </c>
      <c r="H24" s="9">
        <v>46265</v>
      </c>
      <c r="I24" s="5">
        <v>17</v>
      </c>
      <c r="J24" s="54">
        <v>0</v>
      </c>
      <c r="K24" s="6" t="s">
        <v>817</v>
      </c>
      <c r="L24" s="6" t="s">
        <v>136</v>
      </c>
      <c r="M24" s="6" t="b">
        <v>0</v>
      </c>
      <c r="N24" s="6" t="s">
        <v>818</v>
      </c>
      <c r="O24" s="6" t="s">
        <v>819</v>
      </c>
      <c r="P24" s="6" t="s">
        <v>38</v>
      </c>
      <c r="Q24" s="6" t="s">
        <v>820</v>
      </c>
      <c r="R24" s="6" t="s">
        <v>191</v>
      </c>
      <c r="S24" s="5" t="s">
        <v>3323</v>
      </c>
      <c r="T24" s="10"/>
      <c r="U24" s="6"/>
    </row>
    <row r="25" spans="1:21" x14ac:dyDescent="0.2">
      <c r="A25" s="8">
        <v>5.61</v>
      </c>
      <c r="B25" s="5" t="s">
        <v>856</v>
      </c>
      <c r="C25" s="5" t="s">
        <v>101</v>
      </c>
      <c r="D25" s="6" t="s">
        <v>1196</v>
      </c>
      <c r="E25" s="6" t="s">
        <v>1197</v>
      </c>
      <c r="F25" s="6" t="s">
        <v>33</v>
      </c>
      <c r="G25" s="5" t="s">
        <v>104</v>
      </c>
      <c r="H25" s="9">
        <v>46265</v>
      </c>
      <c r="I25" s="5">
        <v>17</v>
      </c>
      <c r="J25" s="54">
        <v>0</v>
      </c>
      <c r="K25" s="6" t="s">
        <v>1198</v>
      </c>
      <c r="L25" s="6" t="s">
        <v>1199</v>
      </c>
      <c r="M25" s="6" t="b">
        <v>0</v>
      </c>
      <c r="N25" s="6" t="s">
        <v>805</v>
      </c>
      <c r="O25" s="6" t="s">
        <v>1200</v>
      </c>
      <c r="P25" s="6" t="s">
        <v>38</v>
      </c>
      <c r="Q25" s="6" t="s">
        <v>1201</v>
      </c>
      <c r="R25" s="6" t="s">
        <v>110</v>
      </c>
      <c r="S25" s="5" t="s">
        <v>3323</v>
      </c>
      <c r="T25" s="10"/>
      <c r="U25" s="6"/>
    </row>
    <row r="26" spans="1:21" x14ac:dyDescent="0.2">
      <c r="A26" s="8">
        <v>7.29</v>
      </c>
      <c r="B26" s="5" t="s">
        <v>18</v>
      </c>
      <c r="C26" s="5" t="s">
        <v>19</v>
      </c>
      <c r="D26" s="6" t="s">
        <v>79</v>
      </c>
      <c r="E26" s="6" t="s">
        <v>80</v>
      </c>
      <c r="F26" s="6" t="s">
        <v>33</v>
      </c>
      <c r="G26" s="5" t="s">
        <v>23</v>
      </c>
      <c r="H26" s="9">
        <v>46266</v>
      </c>
      <c r="I26" s="5">
        <v>18</v>
      </c>
      <c r="J26" s="54">
        <v>100000</v>
      </c>
      <c r="K26" s="6" t="s">
        <v>81</v>
      </c>
      <c r="L26" s="6" t="s">
        <v>82</v>
      </c>
      <c r="M26" s="6" t="b">
        <v>0</v>
      </c>
      <c r="N26" s="6" t="s">
        <v>83</v>
      </c>
      <c r="O26" s="6" t="s">
        <v>84</v>
      </c>
      <c r="P26" s="6" t="s">
        <v>38</v>
      </c>
      <c r="Q26" s="6" t="s">
        <v>85</v>
      </c>
      <c r="R26" s="6" t="s">
        <v>86</v>
      </c>
      <c r="S26" s="5" t="s">
        <v>3323</v>
      </c>
      <c r="T26" s="10"/>
      <c r="U26" s="6"/>
    </row>
    <row r="27" spans="1:21" x14ac:dyDescent="0.2">
      <c r="A27" s="8">
        <v>5.93</v>
      </c>
      <c r="B27" s="5" t="s">
        <v>856</v>
      </c>
      <c r="C27" s="5" t="s">
        <v>19</v>
      </c>
      <c r="D27" s="6" t="s">
        <v>913</v>
      </c>
      <c r="E27" s="6" t="s">
        <v>914</v>
      </c>
      <c r="F27" s="6" t="s">
        <v>33</v>
      </c>
      <c r="G27" s="5" t="s">
        <v>23</v>
      </c>
      <c r="H27" s="9">
        <v>46266</v>
      </c>
      <c r="I27" s="5">
        <v>18</v>
      </c>
      <c r="J27" s="54">
        <v>0</v>
      </c>
      <c r="K27" s="6" t="s">
        <v>915</v>
      </c>
      <c r="L27" s="6" t="s">
        <v>916</v>
      </c>
      <c r="M27" s="6" t="b">
        <v>0</v>
      </c>
      <c r="N27" s="6" t="s">
        <v>917</v>
      </c>
      <c r="O27" s="6" t="s">
        <v>918</v>
      </c>
      <c r="P27" s="6" t="s">
        <v>38</v>
      </c>
      <c r="Q27" s="6" t="s">
        <v>756</v>
      </c>
      <c r="R27" s="6" t="s">
        <v>86</v>
      </c>
      <c r="S27" s="5" t="s">
        <v>3323</v>
      </c>
      <c r="T27" s="10"/>
      <c r="U27" s="6"/>
    </row>
    <row r="28" spans="1:21" x14ac:dyDescent="0.2">
      <c r="A28" s="8">
        <v>5.29</v>
      </c>
      <c r="B28" s="5" t="s">
        <v>856</v>
      </c>
      <c r="C28" s="5" t="s">
        <v>19</v>
      </c>
      <c r="D28" s="6" t="s">
        <v>1504</v>
      </c>
      <c r="E28" s="6" t="s">
        <v>1505</v>
      </c>
      <c r="F28" s="6" t="s">
        <v>33</v>
      </c>
      <c r="G28" s="5" t="s">
        <v>23</v>
      </c>
      <c r="H28" s="9">
        <v>46266</v>
      </c>
      <c r="I28" s="5">
        <v>18</v>
      </c>
      <c r="J28" s="54">
        <v>0</v>
      </c>
      <c r="K28" s="6" t="s">
        <v>1198</v>
      </c>
      <c r="L28" s="6" t="s">
        <v>549</v>
      </c>
      <c r="M28" s="6" t="b">
        <v>0</v>
      </c>
      <c r="N28" s="6" t="s">
        <v>1506</v>
      </c>
      <c r="O28" s="6" t="s">
        <v>1507</v>
      </c>
      <c r="P28" s="6" t="s">
        <v>38</v>
      </c>
      <c r="Q28" s="6" t="s">
        <v>1508</v>
      </c>
      <c r="R28" s="6" t="s">
        <v>86</v>
      </c>
      <c r="S28" s="5" t="s">
        <v>3323</v>
      </c>
      <c r="T28" s="10"/>
      <c r="U28" s="6"/>
    </row>
    <row r="29" spans="1:21" x14ac:dyDescent="0.2">
      <c r="A29" s="8">
        <v>6.4</v>
      </c>
      <c r="B29" s="5" t="s">
        <v>154</v>
      </c>
      <c r="C29" s="5" t="s">
        <v>19</v>
      </c>
      <c r="D29" s="6" t="s">
        <v>501</v>
      </c>
      <c r="E29" s="6" t="s">
        <v>502</v>
      </c>
      <c r="F29" s="6" t="s">
        <v>22</v>
      </c>
      <c r="G29" s="5" t="s">
        <v>23</v>
      </c>
      <c r="H29" s="9">
        <v>46268</v>
      </c>
      <c r="I29" s="5">
        <v>20</v>
      </c>
      <c r="J29" s="54">
        <v>2540000</v>
      </c>
      <c r="K29" s="6" t="s">
        <v>503</v>
      </c>
      <c r="L29" s="6" t="s">
        <v>504</v>
      </c>
      <c r="M29" s="6" t="b">
        <v>1</v>
      </c>
      <c r="N29" s="6" t="s">
        <v>505</v>
      </c>
      <c r="O29" s="6" t="s">
        <v>506</v>
      </c>
      <c r="P29" s="6"/>
      <c r="Q29" s="6" t="s">
        <v>507</v>
      </c>
      <c r="R29" s="6" t="s">
        <v>508</v>
      </c>
      <c r="S29" s="5" t="s">
        <v>3323</v>
      </c>
      <c r="T29" s="10"/>
      <c r="U29" s="6"/>
    </row>
    <row r="30" spans="1:21" x14ac:dyDescent="0.2">
      <c r="A30" s="8">
        <v>5.94</v>
      </c>
      <c r="B30" s="5" t="s">
        <v>856</v>
      </c>
      <c r="C30" s="5" t="s">
        <v>19</v>
      </c>
      <c r="D30" s="6" t="s">
        <v>906</v>
      </c>
      <c r="E30" s="6" t="s">
        <v>907</v>
      </c>
      <c r="F30" s="6" t="s">
        <v>33</v>
      </c>
      <c r="G30" s="5" t="s">
        <v>23</v>
      </c>
      <c r="H30" s="9">
        <v>46268</v>
      </c>
      <c r="I30" s="5">
        <v>20</v>
      </c>
      <c r="J30" s="54">
        <v>0</v>
      </c>
      <c r="K30" s="6" t="s">
        <v>908</v>
      </c>
      <c r="L30" s="6" t="s">
        <v>909</v>
      </c>
      <c r="M30" s="6" t="b">
        <v>0</v>
      </c>
      <c r="N30" s="6" t="s">
        <v>910</v>
      </c>
      <c r="O30" s="6" t="s">
        <v>911</v>
      </c>
      <c r="P30" s="6" t="s">
        <v>38</v>
      </c>
      <c r="Q30" s="6" t="s">
        <v>912</v>
      </c>
      <c r="R30" s="6" t="s">
        <v>508</v>
      </c>
      <c r="S30" s="5" t="s">
        <v>3323</v>
      </c>
      <c r="T30" s="10"/>
      <c r="U30" s="6"/>
    </row>
    <row r="31" spans="1:21" x14ac:dyDescent="0.2">
      <c r="A31" s="8">
        <v>7.02</v>
      </c>
      <c r="B31" s="5" t="s">
        <v>18</v>
      </c>
      <c r="C31" s="5" t="s">
        <v>19</v>
      </c>
      <c r="D31" s="6" t="s">
        <v>140</v>
      </c>
      <c r="E31" s="6" t="s">
        <v>141</v>
      </c>
      <c r="F31" s="6" t="s">
        <v>33</v>
      </c>
      <c r="G31" s="5" t="s">
        <v>23</v>
      </c>
      <c r="H31" s="9">
        <v>46269</v>
      </c>
      <c r="I31" s="5">
        <v>21</v>
      </c>
      <c r="J31" s="54">
        <v>500000</v>
      </c>
      <c r="K31" s="6" t="s">
        <v>142</v>
      </c>
      <c r="L31" s="6" t="s">
        <v>143</v>
      </c>
      <c r="M31" s="6" t="b">
        <v>0</v>
      </c>
      <c r="N31" s="6" t="s">
        <v>144</v>
      </c>
      <c r="O31" s="6" t="s">
        <v>145</v>
      </c>
      <c r="P31" s="6" t="s">
        <v>38</v>
      </c>
      <c r="Q31" s="6" t="s">
        <v>146</v>
      </c>
      <c r="R31" s="6" t="s">
        <v>147</v>
      </c>
      <c r="S31" s="5" t="s">
        <v>3323</v>
      </c>
      <c r="T31" s="10"/>
      <c r="U31" s="6"/>
    </row>
    <row r="32" spans="1:21" x14ac:dyDescent="0.2">
      <c r="A32" s="8">
        <v>6.21</v>
      </c>
      <c r="B32" s="5" t="s">
        <v>154</v>
      </c>
      <c r="C32" s="5" t="s">
        <v>19</v>
      </c>
      <c r="D32" s="6" t="s">
        <v>611</v>
      </c>
      <c r="E32" s="6" t="s">
        <v>612</v>
      </c>
      <c r="F32" s="6" t="s">
        <v>42</v>
      </c>
      <c r="G32" s="5" t="s">
        <v>23</v>
      </c>
      <c r="H32" s="9">
        <v>46271</v>
      </c>
      <c r="I32" s="5">
        <v>23</v>
      </c>
      <c r="J32" s="54">
        <v>0</v>
      </c>
      <c r="K32" s="6" t="s">
        <v>613</v>
      </c>
      <c r="L32" s="6" t="s">
        <v>614</v>
      </c>
      <c r="M32" s="6" t="b">
        <v>0</v>
      </c>
      <c r="N32" s="6" t="s">
        <v>615</v>
      </c>
      <c r="O32" s="6" t="s">
        <v>616</v>
      </c>
      <c r="P32" s="6" t="s">
        <v>28</v>
      </c>
      <c r="Q32" s="6" t="s">
        <v>617</v>
      </c>
      <c r="R32" s="6" t="s">
        <v>162</v>
      </c>
      <c r="S32" s="5" t="s">
        <v>3323</v>
      </c>
      <c r="T32" s="10"/>
      <c r="U32" s="6"/>
    </row>
    <row r="33" spans="1:21" x14ac:dyDescent="0.2">
      <c r="A33" s="8">
        <v>5.87</v>
      </c>
      <c r="B33" s="5" t="s">
        <v>856</v>
      </c>
      <c r="C33" s="5" t="s">
        <v>863</v>
      </c>
      <c r="D33" s="6" t="s">
        <v>1000</v>
      </c>
      <c r="E33" s="6" t="s">
        <v>1001</v>
      </c>
      <c r="F33" s="6" t="s">
        <v>33</v>
      </c>
      <c r="G33" s="5" t="s">
        <v>23</v>
      </c>
      <c r="H33" s="9">
        <v>46271</v>
      </c>
      <c r="I33" s="5">
        <v>23</v>
      </c>
      <c r="J33" s="54">
        <v>0</v>
      </c>
      <c r="K33" s="6" t="s">
        <v>1002</v>
      </c>
      <c r="L33" s="6" t="s">
        <v>1003</v>
      </c>
      <c r="M33" s="6" t="b">
        <v>0</v>
      </c>
      <c r="N33" s="6" t="s">
        <v>216</v>
      </c>
      <c r="O33" s="6" t="s">
        <v>1004</v>
      </c>
      <c r="P33" s="6" t="s">
        <v>38</v>
      </c>
      <c r="Q33" s="6" t="s">
        <v>1005</v>
      </c>
      <c r="R33" s="6" t="s">
        <v>871</v>
      </c>
      <c r="S33" s="5" t="s">
        <v>3323</v>
      </c>
      <c r="T33" s="10"/>
      <c r="U33" s="6"/>
    </row>
    <row r="34" spans="1:21" x14ac:dyDescent="0.2">
      <c r="A34" s="8">
        <v>7.02</v>
      </c>
      <c r="B34" s="5" t="s">
        <v>18</v>
      </c>
      <c r="C34" s="5" t="s">
        <v>19</v>
      </c>
      <c r="D34" s="6" t="s">
        <v>133</v>
      </c>
      <c r="E34" s="6" t="s">
        <v>134</v>
      </c>
      <c r="F34" s="6" t="s">
        <v>22</v>
      </c>
      <c r="G34" s="5" t="s">
        <v>23</v>
      </c>
      <c r="H34" s="9">
        <v>46272</v>
      </c>
      <c r="I34" s="5">
        <v>24</v>
      </c>
      <c r="J34" s="54">
        <v>545000</v>
      </c>
      <c r="K34" s="6" t="s">
        <v>135</v>
      </c>
      <c r="L34" s="6" t="s">
        <v>136</v>
      </c>
      <c r="M34" s="6" t="b">
        <v>1</v>
      </c>
      <c r="N34" s="6" t="s">
        <v>137</v>
      </c>
      <c r="O34" s="6" t="s">
        <v>138</v>
      </c>
      <c r="P34" s="6" t="s">
        <v>38</v>
      </c>
      <c r="Q34" s="6" t="s">
        <v>139</v>
      </c>
      <c r="R34" s="6" t="s">
        <v>30</v>
      </c>
      <c r="S34" s="5" t="s">
        <v>3323</v>
      </c>
      <c r="T34" s="10"/>
      <c r="U34" s="6"/>
    </row>
    <row r="35" spans="1:21" x14ac:dyDescent="0.2">
      <c r="A35" s="8">
        <v>6.1</v>
      </c>
      <c r="B35" s="5" t="s">
        <v>154</v>
      </c>
      <c r="C35" s="5" t="s">
        <v>19</v>
      </c>
      <c r="D35" s="6" t="s">
        <v>750</v>
      </c>
      <c r="E35" s="6" t="s">
        <v>751</v>
      </c>
      <c r="F35" s="6" t="s">
        <v>33</v>
      </c>
      <c r="G35" s="5" t="s">
        <v>23</v>
      </c>
      <c r="H35" s="9">
        <v>46273</v>
      </c>
      <c r="I35" s="5">
        <v>25</v>
      </c>
      <c r="J35" s="54">
        <v>0</v>
      </c>
      <c r="K35" s="6" t="s">
        <v>752</v>
      </c>
      <c r="L35" s="6" t="s">
        <v>753</v>
      </c>
      <c r="M35" s="6" t="b">
        <v>0</v>
      </c>
      <c r="N35" s="6" t="s">
        <v>754</v>
      </c>
      <c r="O35" s="6" t="s">
        <v>755</v>
      </c>
      <c r="P35" s="6" t="s">
        <v>92</v>
      </c>
      <c r="Q35" s="6" t="s">
        <v>756</v>
      </c>
      <c r="R35" s="6" t="s">
        <v>162</v>
      </c>
      <c r="S35" s="5" t="s">
        <v>3323</v>
      </c>
      <c r="T35" s="10"/>
      <c r="U35" s="6"/>
    </row>
    <row r="36" spans="1:21" x14ac:dyDescent="0.2">
      <c r="A36" s="8">
        <v>5.57</v>
      </c>
      <c r="B36" s="5" t="s">
        <v>856</v>
      </c>
      <c r="C36" s="5" t="s">
        <v>863</v>
      </c>
      <c r="D36" s="6" t="s">
        <v>1232</v>
      </c>
      <c r="E36" s="6" t="s">
        <v>1233</v>
      </c>
      <c r="F36" s="6" t="s">
        <v>33</v>
      </c>
      <c r="G36" s="5" t="s">
        <v>23</v>
      </c>
      <c r="H36" s="9">
        <v>46277</v>
      </c>
      <c r="I36" s="5">
        <v>29</v>
      </c>
      <c r="J36" s="54">
        <v>0</v>
      </c>
      <c r="K36" s="6" t="s">
        <v>1198</v>
      </c>
      <c r="L36" s="6" t="s">
        <v>549</v>
      </c>
      <c r="M36" s="6" t="b">
        <v>0</v>
      </c>
      <c r="N36" s="6" t="s">
        <v>805</v>
      </c>
      <c r="O36" s="6" t="s">
        <v>1234</v>
      </c>
      <c r="P36" s="6" t="s">
        <v>38</v>
      </c>
      <c r="Q36" s="6" t="s">
        <v>1235</v>
      </c>
      <c r="R36" s="6" t="s">
        <v>871</v>
      </c>
      <c r="S36" s="5" t="s">
        <v>3323</v>
      </c>
      <c r="T36" s="10"/>
      <c r="U36" s="6"/>
    </row>
    <row r="37" spans="1:21" x14ac:dyDescent="0.2">
      <c r="A37" s="8">
        <v>7.1</v>
      </c>
      <c r="B37" s="5" t="s">
        <v>18</v>
      </c>
      <c r="C37" s="5" t="s">
        <v>19</v>
      </c>
      <c r="D37" s="6" t="s">
        <v>111</v>
      </c>
      <c r="E37" s="6" t="s">
        <v>112</v>
      </c>
      <c r="F37" s="6" t="s">
        <v>33</v>
      </c>
      <c r="G37" s="5" t="s">
        <v>23</v>
      </c>
      <c r="H37" s="9">
        <v>46279</v>
      </c>
      <c r="I37" s="5">
        <v>31</v>
      </c>
      <c r="J37" s="54">
        <v>327000</v>
      </c>
      <c r="K37" s="6" t="s">
        <v>113</v>
      </c>
      <c r="L37" s="6" t="s">
        <v>114</v>
      </c>
      <c r="M37" s="6" t="b">
        <v>0</v>
      </c>
      <c r="N37" s="6" t="s">
        <v>115</v>
      </c>
      <c r="O37" s="6" t="s">
        <v>116</v>
      </c>
      <c r="P37" s="6" t="s">
        <v>38</v>
      </c>
      <c r="Q37" s="6" t="s">
        <v>117</v>
      </c>
      <c r="R37" s="6" t="s">
        <v>30</v>
      </c>
      <c r="S37" s="5" t="s">
        <v>3323</v>
      </c>
      <c r="T37" s="10"/>
      <c r="U37" s="6"/>
    </row>
    <row r="38" spans="1:21" x14ac:dyDescent="0.2">
      <c r="A38" s="8">
        <v>6.45</v>
      </c>
      <c r="B38" s="5" t="s">
        <v>154</v>
      </c>
      <c r="C38" s="5" t="s">
        <v>19</v>
      </c>
      <c r="D38" s="6" t="s">
        <v>465</v>
      </c>
      <c r="E38" s="6" t="s">
        <v>466</v>
      </c>
      <c r="F38" s="6" t="s">
        <v>33</v>
      </c>
      <c r="G38" s="5" t="s">
        <v>23</v>
      </c>
      <c r="H38" s="9">
        <v>46280</v>
      </c>
      <c r="I38" s="5">
        <v>32</v>
      </c>
      <c r="J38" s="54">
        <v>300000</v>
      </c>
      <c r="K38" s="6" t="s">
        <v>467</v>
      </c>
      <c r="L38" s="6" t="s">
        <v>468</v>
      </c>
      <c r="M38" s="6" t="b">
        <v>0</v>
      </c>
      <c r="N38" s="6" t="s">
        <v>67</v>
      </c>
      <c r="O38" s="6" t="s">
        <v>469</v>
      </c>
      <c r="P38" s="6" t="s">
        <v>38</v>
      </c>
      <c r="Q38" s="6" t="s">
        <v>470</v>
      </c>
      <c r="R38" s="6" t="s">
        <v>162</v>
      </c>
      <c r="S38" s="5" t="s">
        <v>3323</v>
      </c>
      <c r="T38" s="10"/>
      <c r="U38" s="6"/>
    </row>
    <row r="39" spans="1:21" x14ac:dyDescent="0.2">
      <c r="A39" s="8">
        <v>6.07</v>
      </c>
      <c r="B39" s="5" t="s">
        <v>154</v>
      </c>
      <c r="C39" s="5" t="s">
        <v>19</v>
      </c>
      <c r="D39" s="6" t="s">
        <v>779</v>
      </c>
      <c r="E39" s="6" t="s">
        <v>780</v>
      </c>
      <c r="F39" s="6" t="s">
        <v>42</v>
      </c>
      <c r="G39" s="5" t="s">
        <v>23</v>
      </c>
      <c r="H39" s="9">
        <v>46285</v>
      </c>
      <c r="I39" s="5">
        <v>37</v>
      </c>
      <c r="J39" s="54">
        <v>0</v>
      </c>
      <c r="K39" s="6" t="s">
        <v>781</v>
      </c>
      <c r="L39" s="6" t="s">
        <v>782</v>
      </c>
      <c r="M39" s="6" t="b">
        <v>0</v>
      </c>
      <c r="N39" s="6" t="s">
        <v>783</v>
      </c>
      <c r="O39" s="6" t="s">
        <v>784</v>
      </c>
      <c r="P39" s="6" t="s">
        <v>28</v>
      </c>
      <c r="Q39" s="6" t="s">
        <v>785</v>
      </c>
      <c r="R39" s="6" t="s">
        <v>162</v>
      </c>
      <c r="S39" s="5" t="s">
        <v>3323</v>
      </c>
      <c r="T39" s="10"/>
      <c r="U39" s="6"/>
    </row>
    <row r="40" spans="1:21" x14ac:dyDescent="0.2">
      <c r="A40" s="8">
        <v>6.85</v>
      </c>
      <c r="B40" s="5" t="s">
        <v>154</v>
      </c>
      <c r="C40" s="5" t="s">
        <v>19</v>
      </c>
      <c r="D40" s="6" t="s">
        <v>257</v>
      </c>
      <c r="E40" s="6" t="s">
        <v>258</v>
      </c>
      <c r="F40" s="6" t="s">
        <v>33</v>
      </c>
      <c r="G40" s="5" t="s">
        <v>23</v>
      </c>
      <c r="H40" s="9">
        <v>46288</v>
      </c>
      <c r="I40" s="5">
        <v>40</v>
      </c>
      <c r="J40" s="54">
        <v>200000</v>
      </c>
      <c r="K40" s="6" t="s">
        <v>259</v>
      </c>
      <c r="L40" s="6" t="s">
        <v>260</v>
      </c>
      <c r="M40" s="6" t="b">
        <v>0</v>
      </c>
      <c r="N40" s="6" t="s">
        <v>261</v>
      </c>
      <c r="O40" s="6" t="s">
        <v>262</v>
      </c>
      <c r="P40" s="6" t="s">
        <v>38</v>
      </c>
      <c r="Q40" s="6" t="s">
        <v>263</v>
      </c>
      <c r="R40" s="6" t="s">
        <v>162</v>
      </c>
      <c r="S40" s="5" t="s">
        <v>3323</v>
      </c>
      <c r="T40" s="10"/>
      <c r="U40" s="6"/>
    </row>
    <row r="41" spans="1:21" x14ac:dyDescent="0.2">
      <c r="A41" s="8">
        <v>6.11</v>
      </c>
      <c r="B41" s="5" t="s">
        <v>154</v>
      </c>
      <c r="C41" s="5" t="s">
        <v>19</v>
      </c>
      <c r="D41" s="6" t="s">
        <v>736</v>
      </c>
      <c r="E41" s="6" t="s">
        <v>737</v>
      </c>
      <c r="F41" s="6" t="s">
        <v>33</v>
      </c>
      <c r="G41" s="5" t="s">
        <v>23</v>
      </c>
      <c r="H41" s="9">
        <v>46290</v>
      </c>
      <c r="I41" s="5">
        <v>42</v>
      </c>
      <c r="J41" s="54">
        <v>370600</v>
      </c>
      <c r="K41" s="6" t="s">
        <v>738</v>
      </c>
      <c r="L41" s="6" t="s">
        <v>739</v>
      </c>
      <c r="M41" s="6" t="b">
        <v>0</v>
      </c>
      <c r="N41" s="6" t="s">
        <v>740</v>
      </c>
      <c r="O41" s="6" t="s">
        <v>741</v>
      </c>
      <c r="P41" s="6" t="s">
        <v>38</v>
      </c>
      <c r="Q41" s="6" t="s">
        <v>742</v>
      </c>
      <c r="R41" s="6" t="s">
        <v>162</v>
      </c>
      <c r="S41" s="5" t="s">
        <v>3323</v>
      </c>
      <c r="T41" s="10"/>
      <c r="U41" s="6"/>
    </row>
    <row r="42" spans="1:21" x14ac:dyDescent="0.2">
      <c r="A42" s="8">
        <v>6.04</v>
      </c>
      <c r="B42" s="5" t="s">
        <v>154</v>
      </c>
      <c r="C42" s="5" t="s">
        <v>19</v>
      </c>
      <c r="D42" s="6" t="s">
        <v>802</v>
      </c>
      <c r="E42" s="6" t="s">
        <v>803</v>
      </c>
      <c r="F42" s="6" t="s">
        <v>33</v>
      </c>
      <c r="G42" s="5" t="s">
        <v>23</v>
      </c>
      <c r="H42" s="9">
        <v>46295</v>
      </c>
      <c r="I42" s="5">
        <v>47</v>
      </c>
      <c r="J42" s="54">
        <v>0</v>
      </c>
      <c r="K42" s="6" t="s">
        <v>804</v>
      </c>
      <c r="L42" s="6" t="s">
        <v>549</v>
      </c>
      <c r="M42" s="6" t="b">
        <v>0</v>
      </c>
      <c r="N42" s="6" t="s">
        <v>805</v>
      </c>
      <c r="O42" s="6" t="s">
        <v>806</v>
      </c>
      <c r="P42" s="6" t="s">
        <v>38</v>
      </c>
      <c r="Q42" s="6" t="s">
        <v>807</v>
      </c>
      <c r="R42" s="6" t="s">
        <v>162</v>
      </c>
      <c r="S42" s="5" t="s">
        <v>3323</v>
      </c>
      <c r="T42" s="10"/>
      <c r="U42" s="6"/>
    </row>
    <row r="43" spans="1:21" x14ac:dyDescent="0.2">
      <c r="A43" s="8">
        <v>5.43</v>
      </c>
      <c r="B43" s="5" t="s">
        <v>856</v>
      </c>
      <c r="C43" s="5" t="s">
        <v>863</v>
      </c>
      <c r="D43" s="6" t="s">
        <v>1399</v>
      </c>
      <c r="E43" s="6" t="s">
        <v>406</v>
      </c>
      <c r="F43" s="6" t="s">
        <v>33</v>
      </c>
      <c r="G43" s="5" t="s">
        <v>23</v>
      </c>
      <c r="H43" s="9">
        <v>46295</v>
      </c>
      <c r="I43" s="5">
        <v>47</v>
      </c>
      <c r="J43" s="54">
        <v>0</v>
      </c>
      <c r="K43" s="6" t="s">
        <v>1400</v>
      </c>
      <c r="L43" s="6" t="s">
        <v>1401</v>
      </c>
      <c r="M43" s="6" t="b">
        <v>0</v>
      </c>
      <c r="N43" s="6" t="s">
        <v>1402</v>
      </c>
      <c r="O43" s="6" t="s">
        <v>1403</v>
      </c>
      <c r="P43" s="6" t="s">
        <v>28</v>
      </c>
      <c r="Q43" s="6" t="s">
        <v>1404</v>
      </c>
      <c r="R43" s="6" t="s">
        <v>871</v>
      </c>
      <c r="S43" s="5" t="s">
        <v>3323</v>
      </c>
      <c r="T43" s="10"/>
      <c r="U43" s="6"/>
    </row>
    <row r="44" spans="1:21" x14ac:dyDescent="0.2">
      <c r="A44" s="8">
        <v>6.63</v>
      </c>
      <c r="B44" s="5" t="s">
        <v>154</v>
      </c>
      <c r="C44" s="5" t="s">
        <v>19</v>
      </c>
      <c r="D44" s="6" t="s">
        <v>355</v>
      </c>
      <c r="E44" s="6" t="s">
        <v>219</v>
      </c>
      <c r="F44" s="6" t="s">
        <v>33</v>
      </c>
      <c r="G44" s="5" t="s">
        <v>23</v>
      </c>
      <c r="H44" s="9">
        <v>46299</v>
      </c>
      <c r="I44" s="5">
        <v>51</v>
      </c>
      <c r="J44" s="54">
        <v>2000000</v>
      </c>
      <c r="K44" s="6" t="s">
        <v>356</v>
      </c>
      <c r="L44" s="6" t="s">
        <v>357</v>
      </c>
      <c r="M44" s="6" t="b">
        <v>0</v>
      </c>
      <c r="N44" s="6" t="s">
        <v>358</v>
      </c>
      <c r="O44" s="6" t="s">
        <v>359</v>
      </c>
      <c r="P44" s="6" t="s">
        <v>38</v>
      </c>
      <c r="Q44" s="6" t="s">
        <v>360</v>
      </c>
      <c r="R44" s="6" t="s">
        <v>162</v>
      </c>
      <c r="S44" s="5" t="s">
        <v>3323</v>
      </c>
      <c r="T44" s="10"/>
      <c r="U44" s="6"/>
    </row>
    <row r="45" spans="1:21" x14ac:dyDescent="0.2">
      <c r="A45" s="8">
        <v>5.72</v>
      </c>
      <c r="B45" s="5" t="s">
        <v>856</v>
      </c>
      <c r="C45" s="5" t="s">
        <v>863</v>
      </c>
      <c r="D45" s="6" t="s">
        <v>1100</v>
      </c>
      <c r="E45" s="6" t="s">
        <v>1101</v>
      </c>
      <c r="F45" s="6" t="s">
        <v>33</v>
      </c>
      <c r="G45" s="5" t="s">
        <v>23</v>
      </c>
      <c r="H45" s="9">
        <v>46300</v>
      </c>
      <c r="I45" s="5">
        <v>52</v>
      </c>
      <c r="J45" s="54">
        <v>0</v>
      </c>
      <c r="K45" s="6" t="s">
        <v>1102</v>
      </c>
      <c r="L45" s="6" t="s">
        <v>549</v>
      </c>
      <c r="M45" s="6" t="b">
        <v>0</v>
      </c>
      <c r="N45" s="6" t="s">
        <v>1103</v>
      </c>
      <c r="O45" s="6" t="s">
        <v>1104</v>
      </c>
      <c r="P45" s="6" t="s">
        <v>38</v>
      </c>
      <c r="Q45" s="6" t="s">
        <v>1105</v>
      </c>
      <c r="R45" s="6" t="s">
        <v>871</v>
      </c>
      <c r="S45" s="5" t="s">
        <v>3323</v>
      </c>
      <c r="T45" s="10"/>
      <c r="U45" s="6"/>
    </row>
    <row r="46" spans="1:21" x14ac:dyDescent="0.2">
      <c r="A46" s="8">
        <v>6.71</v>
      </c>
      <c r="B46" s="5" t="s">
        <v>154</v>
      </c>
      <c r="C46" s="5" t="s">
        <v>19</v>
      </c>
      <c r="D46" s="6" t="s">
        <v>328</v>
      </c>
      <c r="E46" s="6" t="s">
        <v>329</v>
      </c>
      <c r="F46" s="6" t="s">
        <v>33</v>
      </c>
      <c r="G46" s="5" t="s">
        <v>23</v>
      </c>
      <c r="H46" s="9">
        <v>46306</v>
      </c>
      <c r="I46" s="5">
        <v>58</v>
      </c>
      <c r="J46" s="54">
        <v>150000</v>
      </c>
      <c r="K46" s="6" t="s">
        <v>330</v>
      </c>
      <c r="L46" s="6" t="s">
        <v>331</v>
      </c>
      <c r="M46" s="6" t="b">
        <v>0</v>
      </c>
      <c r="N46" s="6" t="s">
        <v>332</v>
      </c>
      <c r="O46" s="6" t="s">
        <v>333</v>
      </c>
      <c r="P46" s="6" t="s">
        <v>38</v>
      </c>
      <c r="Q46" s="6" t="s">
        <v>334</v>
      </c>
      <c r="R46" s="6" t="s">
        <v>162</v>
      </c>
      <c r="S46" s="5" t="s">
        <v>3323</v>
      </c>
      <c r="T46" s="10"/>
      <c r="U46" s="6"/>
    </row>
    <row r="47" spans="1:21" x14ac:dyDescent="0.2">
      <c r="A47" s="8">
        <v>5.81</v>
      </c>
      <c r="B47" s="5" t="s">
        <v>856</v>
      </c>
      <c r="C47" s="5" t="s">
        <v>863</v>
      </c>
      <c r="D47" s="6" t="s">
        <v>1029</v>
      </c>
      <c r="E47" s="6" t="s">
        <v>1030</v>
      </c>
      <c r="F47" s="6" t="s">
        <v>33</v>
      </c>
      <c r="G47" s="5" t="s">
        <v>23</v>
      </c>
      <c r="H47" s="9">
        <v>46313</v>
      </c>
      <c r="I47" s="5">
        <v>65</v>
      </c>
      <c r="J47" s="54">
        <v>0</v>
      </c>
      <c r="K47" s="6" t="s">
        <v>1031</v>
      </c>
      <c r="L47" s="6" t="s">
        <v>1032</v>
      </c>
      <c r="M47" s="6" t="b">
        <v>0</v>
      </c>
      <c r="N47" s="6" t="s">
        <v>1033</v>
      </c>
      <c r="O47" s="6" t="s">
        <v>1034</v>
      </c>
      <c r="P47" s="6" t="s">
        <v>28</v>
      </c>
      <c r="Q47" s="6" t="s">
        <v>1035</v>
      </c>
      <c r="R47" s="6" t="s">
        <v>871</v>
      </c>
      <c r="S47" s="5" t="s">
        <v>3323</v>
      </c>
      <c r="T47" s="10"/>
      <c r="U47" s="6"/>
    </row>
    <row r="48" spans="1:21" x14ac:dyDescent="0.2">
      <c r="A48" s="8">
        <v>5.12</v>
      </c>
      <c r="B48" s="5" t="s">
        <v>856</v>
      </c>
      <c r="C48" s="5" t="s">
        <v>863</v>
      </c>
      <c r="D48" s="6" t="s">
        <v>1699</v>
      </c>
      <c r="E48" s="6" t="s">
        <v>1700</v>
      </c>
      <c r="F48" s="6" t="s">
        <v>33</v>
      </c>
      <c r="G48" s="5" t="s">
        <v>23</v>
      </c>
      <c r="H48" s="9">
        <v>46313</v>
      </c>
      <c r="I48" s="5">
        <v>65</v>
      </c>
      <c r="J48" s="54">
        <v>0</v>
      </c>
      <c r="K48" s="6" t="s">
        <v>1701</v>
      </c>
      <c r="L48" s="6" t="s">
        <v>1702</v>
      </c>
      <c r="M48" s="6" t="b">
        <v>0</v>
      </c>
      <c r="N48" s="6" t="s">
        <v>805</v>
      </c>
      <c r="O48" s="6" t="s">
        <v>1703</v>
      </c>
      <c r="P48" s="6" t="s">
        <v>38</v>
      </c>
      <c r="Q48" s="6" t="s">
        <v>1704</v>
      </c>
      <c r="R48" s="6" t="s">
        <v>871</v>
      </c>
      <c r="S48" s="5" t="s">
        <v>3323</v>
      </c>
      <c r="T48" s="10"/>
      <c r="U48" s="6"/>
    </row>
    <row r="49" spans="1:21" x14ac:dyDescent="0.2">
      <c r="A49" s="8">
        <v>4.9400000000000004</v>
      </c>
      <c r="B49" s="5" t="s">
        <v>1787</v>
      </c>
      <c r="C49" s="5" t="s">
        <v>863</v>
      </c>
      <c r="D49" s="6" t="s">
        <v>1846</v>
      </c>
      <c r="E49" s="6" t="s">
        <v>1847</v>
      </c>
      <c r="F49" s="6" t="s">
        <v>120</v>
      </c>
      <c r="G49" s="5" t="s">
        <v>23</v>
      </c>
      <c r="H49" s="9">
        <v>46318</v>
      </c>
      <c r="I49" s="5">
        <v>70</v>
      </c>
      <c r="J49" s="54">
        <v>0</v>
      </c>
      <c r="K49" s="6" t="s">
        <v>1848</v>
      </c>
      <c r="L49" s="6" t="s">
        <v>1849</v>
      </c>
      <c r="M49" s="6" t="b">
        <v>0</v>
      </c>
      <c r="N49" s="6" t="s">
        <v>1850</v>
      </c>
      <c r="O49" s="6" t="s">
        <v>1851</v>
      </c>
      <c r="P49" s="6" t="s">
        <v>38</v>
      </c>
      <c r="Q49" s="6" t="s">
        <v>1852</v>
      </c>
      <c r="R49" s="6" t="s">
        <v>871</v>
      </c>
      <c r="S49" s="5" t="s">
        <v>3323</v>
      </c>
      <c r="T49" s="10"/>
      <c r="U49" s="6"/>
    </row>
    <row r="50" spans="1:21" x14ac:dyDescent="0.2">
      <c r="A50" s="8">
        <v>6.13</v>
      </c>
      <c r="B50" s="5" t="s">
        <v>154</v>
      </c>
      <c r="C50" s="5" t="s">
        <v>19</v>
      </c>
      <c r="D50" s="6" t="s">
        <v>705</v>
      </c>
      <c r="E50" s="6" t="s">
        <v>103</v>
      </c>
      <c r="F50" s="6" t="s">
        <v>120</v>
      </c>
      <c r="G50" s="5" t="s">
        <v>23</v>
      </c>
      <c r="H50" s="9">
        <v>46327</v>
      </c>
      <c r="I50" s="5">
        <v>79</v>
      </c>
      <c r="J50" s="54">
        <v>0</v>
      </c>
      <c r="K50" s="6" t="s">
        <v>706</v>
      </c>
      <c r="L50" s="6" t="s">
        <v>707</v>
      </c>
      <c r="M50" s="6" t="b">
        <v>0</v>
      </c>
      <c r="N50" s="6" t="s">
        <v>708</v>
      </c>
      <c r="O50" s="6" t="s">
        <v>709</v>
      </c>
      <c r="P50" s="6" t="s">
        <v>38</v>
      </c>
      <c r="Q50" s="6" t="s">
        <v>710</v>
      </c>
      <c r="R50" s="6" t="s">
        <v>162</v>
      </c>
      <c r="S50" s="5" t="s">
        <v>3323</v>
      </c>
      <c r="T50" s="10"/>
      <c r="U50" s="6"/>
    </row>
    <row r="51" spans="1:21" x14ac:dyDescent="0.2">
      <c r="A51" s="8">
        <v>7.64</v>
      </c>
      <c r="B51" s="5" t="s">
        <v>18</v>
      </c>
      <c r="C51" s="5" t="s">
        <v>19</v>
      </c>
      <c r="D51" s="6" t="s">
        <v>20</v>
      </c>
      <c r="E51" s="6" t="s">
        <v>21</v>
      </c>
      <c r="F51" s="6" t="s">
        <v>22</v>
      </c>
      <c r="G51" s="5" t="s">
        <v>23</v>
      </c>
      <c r="H51" s="9">
        <v>46328</v>
      </c>
      <c r="I51" s="5">
        <v>80</v>
      </c>
      <c r="J51" s="54">
        <v>200000</v>
      </c>
      <c r="K51" s="6" t="s">
        <v>24</v>
      </c>
      <c r="L51" s="6" t="s">
        <v>25</v>
      </c>
      <c r="M51" s="6" t="b">
        <v>0</v>
      </c>
      <c r="N51" s="6" t="s">
        <v>26</v>
      </c>
      <c r="O51" s="6" t="s">
        <v>27</v>
      </c>
      <c r="P51" s="6" t="s">
        <v>28</v>
      </c>
      <c r="Q51" s="6" t="s">
        <v>29</v>
      </c>
      <c r="R51" s="6" t="s">
        <v>30</v>
      </c>
      <c r="S51" s="5" t="s">
        <v>3323</v>
      </c>
      <c r="T51" s="10"/>
      <c r="U51" s="6"/>
    </row>
    <row r="52" spans="1:21" x14ac:dyDescent="0.2">
      <c r="A52" s="8">
        <v>6.94</v>
      </c>
      <c r="B52" s="5" t="s">
        <v>154</v>
      </c>
      <c r="C52" s="5" t="s">
        <v>19</v>
      </c>
      <c r="D52" s="6" t="s">
        <v>177</v>
      </c>
      <c r="E52" s="6" t="s">
        <v>178</v>
      </c>
      <c r="F52" s="6" t="s">
        <v>42</v>
      </c>
      <c r="G52" s="5" t="s">
        <v>23</v>
      </c>
      <c r="H52" s="9">
        <v>46328</v>
      </c>
      <c r="I52" s="5">
        <v>80</v>
      </c>
      <c r="J52" s="54">
        <v>109000</v>
      </c>
      <c r="K52" s="6" t="s">
        <v>179</v>
      </c>
      <c r="L52" s="6" t="s">
        <v>180</v>
      </c>
      <c r="M52" s="6" t="b">
        <v>0</v>
      </c>
      <c r="N52" s="6" t="s">
        <v>181</v>
      </c>
      <c r="O52" s="6" t="s">
        <v>182</v>
      </c>
      <c r="P52" s="6" t="s">
        <v>38</v>
      </c>
      <c r="Q52" s="6" t="s">
        <v>183</v>
      </c>
      <c r="R52" s="6" t="s">
        <v>162</v>
      </c>
      <c r="S52" s="5" t="s">
        <v>3323</v>
      </c>
      <c r="T52" s="10"/>
      <c r="U52" s="6"/>
    </row>
    <row r="53" spans="1:21" x14ac:dyDescent="0.2">
      <c r="A53" s="8">
        <v>6.93</v>
      </c>
      <c r="B53" s="5" t="s">
        <v>154</v>
      </c>
      <c r="C53" s="5" t="s">
        <v>19</v>
      </c>
      <c r="D53" s="6" t="s">
        <v>199</v>
      </c>
      <c r="E53" s="6" t="s">
        <v>200</v>
      </c>
      <c r="F53" s="6" t="s">
        <v>33</v>
      </c>
      <c r="G53" s="5" t="s">
        <v>23</v>
      </c>
      <c r="H53" s="9">
        <v>46328</v>
      </c>
      <c r="I53" s="5">
        <v>80</v>
      </c>
      <c r="J53" s="54">
        <v>150000</v>
      </c>
      <c r="K53" s="6" t="s">
        <v>201</v>
      </c>
      <c r="L53" s="6" t="s">
        <v>202</v>
      </c>
      <c r="M53" s="6" t="b">
        <v>0</v>
      </c>
      <c r="N53" s="6" t="s">
        <v>203</v>
      </c>
      <c r="O53" s="6" t="s">
        <v>204</v>
      </c>
      <c r="P53" s="6" t="s">
        <v>38</v>
      </c>
      <c r="Q53" s="6" t="s">
        <v>205</v>
      </c>
      <c r="R53" s="6" t="s">
        <v>162</v>
      </c>
      <c r="S53" s="5" t="s">
        <v>3323</v>
      </c>
      <c r="T53" s="10"/>
      <c r="U53" s="6"/>
    </row>
    <row r="54" spans="1:21" x14ac:dyDescent="0.2">
      <c r="A54" s="8">
        <v>6.41</v>
      </c>
      <c r="B54" s="5" t="s">
        <v>154</v>
      </c>
      <c r="C54" s="5" t="s">
        <v>19</v>
      </c>
      <c r="D54" s="6" t="s">
        <v>497</v>
      </c>
      <c r="E54" s="6" t="s">
        <v>200</v>
      </c>
      <c r="F54" s="6" t="s">
        <v>33</v>
      </c>
      <c r="G54" s="5" t="s">
        <v>23</v>
      </c>
      <c r="H54" s="9">
        <v>46328</v>
      </c>
      <c r="I54" s="5">
        <v>80</v>
      </c>
      <c r="J54" s="54">
        <v>150000</v>
      </c>
      <c r="K54" s="6" t="s">
        <v>498</v>
      </c>
      <c r="L54" s="6" t="s">
        <v>499</v>
      </c>
      <c r="M54" s="6" t="b">
        <v>0</v>
      </c>
      <c r="N54" s="6" t="s">
        <v>210</v>
      </c>
      <c r="O54" s="6" t="s">
        <v>500</v>
      </c>
      <c r="P54" s="6"/>
      <c r="Q54" s="6" t="s">
        <v>205</v>
      </c>
      <c r="R54" s="6" t="s">
        <v>162</v>
      </c>
      <c r="S54" s="5" t="s">
        <v>3323</v>
      </c>
      <c r="T54" s="10"/>
      <c r="U54" s="6"/>
    </row>
    <row r="55" spans="1:21" x14ac:dyDescent="0.2">
      <c r="A55" s="8">
        <v>5.55</v>
      </c>
      <c r="B55" s="5" t="s">
        <v>856</v>
      </c>
      <c r="C55" s="5" t="s">
        <v>863</v>
      </c>
      <c r="D55" s="6" t="s">
        <v>1281</v>
      </c>
      <c r="E55" s="6" t="s">
        <v>1282</v>
      </c>
      <c r="F55" s="6" t="s">
        <v>33</v>
      </c>
      <c r="G55" s="5" t="s">
        <v>23</v>
      </c>
      <c r="H55" s="9">
        <v>46328</v>
      </c>
      <c r="I55" s="5">
        <v>80</v>
      </c>
      <c r="J55" s="54">
        <v>0</v>
      </c>
      <c r="K55" s="6" t="s">
        <v>337</v>
      </c>
      <c r="L55" s="6" t="s">
        <v>1283</v>
      </c>
      <c r="M55" s="6" t="b">
        <v>0</v>
      </c>
      <c r="N55" s="6" t="s">
        <v>1284</v>
      </c>
      <c r="O55" s="6" t="s">
        <v>1285</v>
      </c>
      <c r="P55" s="6"/>
      <c r="Q55" s="6" t="s">
        <v>1286</v>
      </c>
      <c r="R55" s="6" t="s">
        <v>871</v>
      </c>
      <c r="S55" s="5" t="s">
        <v>3323</v>
      </c>
      <c r="T55" s="10"/>
      <c r="U55" s="6"/>
    </row>
    <row r="56" spans="1:21" x14ac:dyDescent="0.2">
      <c r="A56" s="8">
        <v>5.49</v>
      </c>
      <c r="B56" s="5" t="s">
        <v>856</v>
      </c>
      <c r="C56" s="5" t="s">
        <v>101</v>
      </c>
      <c r="D56" s="6" t="s">
        <v>1328</v>
      </c>
      <c r="E56" s="6" t="s">
        <v>1329</v>
      </c>
      <c r="F56" s="6" t="s">
        <v>33</v>
      </c>
      <c r="G56" s="5" t="s">
        <v>104</v>
      </c>
      <c r="H56" s="9">
        <v>46328</v>
      </c>
      <c r="I56" s="5">
        <v>80</v>
      </c>
      <c r="J56" s="54">
        <v>70850</v>
      </c>
      <c r="K56" s="6" t="s">
        <v>1330</v>
      </c>
      <c r="L56" s="6" t="s">
        <v>59</v>
      </c>
      <c r="M56" s="6" t="b">
        <v>0</v>
      </c>
      <c r="N56" s="6" t="s">
        <v>210</v>
      </c>
      <c r="O56" s="6" t="s">
        <v>1331</v>
      </c>
      <c r="P56" s="6" t="s">
        <v>92</v>
      </c>
      <c r="Q56" s="6" t="s">
        <v>1332</v>
      </c>
      <c r="R56" s="6" t="s">
        <v>110</v>
      </c>
      <c r="S56" s="5" t="s">
        <v>3323</v>
      </c>
      <c r="T56" s="10"/>
      <c r="U56" s="6"/>
    </row>
    <row r="57" spans="1:21" x14ac:dyDescent="0.2">
      <c r="A57" s="8">
        <v>6.12</v>
      </c>
      <c r="B57" s="5" t="s">
        <v>154</v>
      </c>
      <c r="C57" s="5" t="s">
        <v>19</v>
      </c>
      <c r="D57" s="6" t="s">
        <v>721</v>
      </c>
      <c r="E57" s="6" t="s">
        <v>722</v>
      </c>
      <c r="F57" s="6" t="s">
        <v>33</v>
      </c>
      <c r="G57" s="5" t="s">
        <v>23</v>
      </c>
      <c r="H57" s="9">
        <v>46334</v>
      </c>
      <c r="I57" s="5">
        <v>86</v>
      </c>
      <c r="J57" s="54">
        <v>120000</v>
      </c>
      <c r="K57" s="6" t="s">
        <v>723</v>
      </c>
      <c r="L57" s="6" t="s">
        <v>724</v>
      </c>
      <c r="M57" s="6" t="b">
        <v>0</v>
      </c>
      <c r="N57" s="6" t="s">
        <v>725</v>
      </c>
      <c r="O57" s="6" t="s">
        <v>726</v>
      </c>
      <c r="P57" s="6" t="s">
        <v>727</v>
      </c>
      <c r="Q57" s="6" t="s">
        <v>728</v>
      </c>
      <c r="R57" s="6" t="s">
        <v>162</v>
      </c>
      <c r="S57" s="5" t="s">
        <v>3323</v>
      </c>
      <c r="T57" s="10"/>
      <c r="U57" s="6"/>
    </row>
    <row r="58" spans="1:21" x14ac:dyDescent="0.2">
      <c r="A58" s="8">
        <v>4.3600000000000003</v>
      </c>
      <c r="B58" s="5" t="s">
        <v>1787</v>
      </c>
      <c r="C58" s="5" t="s">
        <v>101</v>
      </c>
      <c r="D58" s="6" t="s">
        <v>2334</v>
      </c>
      <c r="E58" s="6" t="s">
        <v>2335</v>
      </c>
      <c r="F58" s="6" t="s">
        <v>42</v>
      </c>
      <c r="G58" s="5" t="s">
        <v>104</v>
      </c>
      <c r="H58" s="9">
        <v>46357</v>
      </c>
      <c r="I58" s="5">
        <v>109</v>
      </c>
      <c r="J58" s="54">
        <v>0</v>
      </c>
      <c r="K58" s="6" t="s">
        <v>2336</v>
      </c>
      <c r="L58" s="6" t="s">
        <v>2336</v>
      </c>
      <c r="M58" s="6" t="b">
        <v>0</v>
      </c>
      <c r="N58" s="6" t="s">
        <v>2336</v>
      </c>
      <c r="O58" s="6" t="s">
        <v>2337</v>
      </c>
      <c r="P58" s="6"/>
      <c r="Q58" s="6" t="s">
        <v>2338</v>
      </c>
      <c r="R58" s="6" t="s">
        <v>110</v>
      </c>
      <c r="S58" s="5" t="s">
        <v>3323</v>
      </c>
      <c r="T58" s="10"/>
      <c r="U58" s="6"/>
    </row>
    <row r="59" spans="1:21" x14ac:dyDescent="0.2">
      <c r="A59" s="8">
        <v>7.57</v>
      </c>
      <c r="B59" s="5" t="s">
        <v>18</v>
      </c>
      <c r="C59" s="5" t="s">
        <v>19</v>
      </c>
      <c r="D59" s="6" t="s">
        <v>31</v>
      </c>
      <c r="E59" s="6" t="s">
        <v>32</v>
      </c>
      <c r="F59" s="6" t="s">
        <v>33</v>
      </c>
      <c r="G59" s="5" t="s">
        <v>23</v>
      </c>
      <c r="H59" s="5"/>
      <c r="I59" s="5"/>
      <c r="J59" s="54">
        <v>250000</v>
      </c>
      <c r="K59" s="6" t="s">
        <v>34</v>
      </c>
      <c r="L59" s="6" t="s">
        <v>35</v>
      </c>
      <c r="M59" s="6" t="b">
        <v>0</v>
      </c>
      <c r="N59" s="6" t="s">
        <v>36</v>
      </c>
      <c r="O59" s="6" t="s">
        <v>37</v>
      </c>
      <c r="P59" s="6" t="s">
        <v>38</v>
      </c>
      <c r="Q59" s="6" t="s">
        <v>39</v>
      </c>
      <c r="R59" s="6" t="s">
        <v>30</v>
      </c>
      <c r="S59" s="5" t="s">
        <v>3323</v>
      </c>
      <c r="T59" s="10"/>
      <c r="U59" s="6"/>
    </row>
    <row r="60" spans="1:21" x14ac:dyDescent="0.2">
      <c r="A60" s="8">
        <v>7.36</v>
      </c>
      <c r="B60" s="5" t="s">
        <v>18</v>
      </c>
      <c r="C60" s="5" t="s">
        <v>19</v>
      </c>
      <c r="D60" s="6" t="s">
        <v>49</v>
      </c>
      <c r="E60" s="6" t="s">
        <v>50</v>
      </c>
      <c r="F60" s="6" t="s">
        <v>33</v>
      </c>
      <c r="G60" s="5" t="s">
        <v>23</v>
      </c>
      <c r="H60" s="5"/>
      <c r="I60" s="5"/>
      <c r="J60" s="54">
        <v>220000</v>
      </c>
      <c r="K60" s="6" t="s">
        <v>51</v>
      </c>
      <c r="L60" s="6" t="s">
        <v>52</v>
      </c>
      <c r="M60" s="6" t="b">
        <v>0</v>
      </c>
      <c r="N60" s="6" t="s">
        <v>53</v>
      </c>
      <c r="O60" s="6" t="s">
        <v>54</v>
      </c>
      <c r="P60" s="6" t="s">
        <v>38</v>
      </c>
      <c r="Q60" s="6" t="s">
        <v>55</v>
      </c>
      <c r="R60" s="6" t="s">
        <v>30</v>
      </c>
      <c r="S60" s="5" t="s">
        <v>3323</v>
      </c>
      <c r="T60" s="10"/>
      <c r="U60" s="6"/>
    </row>
    <row r="61" spans="1:21" x14ac:dyDescent="0.2">
      <c r="A61" s="8">
        <v>7.36</v>
      </c>
      <c r="B61" s="5" t="s">
        <v>18</v>
      </c>
      <c r="C61" s="5" t="s">
        <v>19</v>
      </c>
      <c r="D61" s="6" t="s">
        <v>56</v>
      </c>
      <c r="E61" s="6" t="s">
        <v>57</v>
      </c>
      <c r="F61" s="6" t="s">
        <v>33</v>
      </c>
      <c r="G61" s="5" t="s">
        <v>23</v>
      </c>
      <c r="H61" s="5"/>
      <c r="I61" s="5"/>
      <c r="J61" s="54">
        <v>2000000</v>
      </c>
      <c r="K61" s="6" t="s">
        <v>58</v>
      </c>
      <c r="L61" s="6" t="s">
        <v>59</v>
      </c>
      <c r="M61" s="6" t="b">
        <v>0</v>
      </c>
      <c r="N61" s="6" t="s">
        <v>60</v>
      </c>
      <c r="O61" s="6" t="s">
        <v>61</v>
      </c>
      <c r="P61" s="6"/>
      <c r="Q61" s="6" t="s">
        <v>62</v>
      </c>
      <c r="R61" s="6" t="s">
        <v>30</v>
      </c>
      <c r="S61" s="5" t="s">
        <v>3323</v>
      </c>
      <c r="T61" s="10"/>
      <c r="U61" s="6"/>
    </row>
    <row r="62" spans="1:21" x14ac:dyDescent="0.2">
      <c r="A62" s="8">
        <v>7.33</v>
      </c>
      <c r="B62" s="5" t="s">
        <v>18</v>
      </c>
      <c r="C62" s="5" t="s">
        <v>19</v>
      </c>
      <c r="D62" s="6" t="s">
        <v>71</v>
      </c>
      <c r="E62" s="6" t="s">
        <v>72</v>
      </c>
      <c r="F62" s="6" t="s">
        <v>73</v>
      </c>
      <c r="G62" s="5" t="s">
        <v>23</v>
      </c>
      <c r="H62" s="5"/>
      <c r="I62" s="5"/>
      <c r="J62" s="54">
        <v>500000</v>
      </c>
      <c r="K62" s="6" t="s">
        <v>74</v>
      </c>
      <c r="L62" s="6" t="s">
        <v>75</v>
      </c>
      <c r="M62" s="6" t="b">
        <v>0</v>
      </c>
      <c r="N62" s="6" t="s">
        <v>76</v>
      </c>
      <c r="O62" s="6" t="s">
        <v>77</v>
      </c>
      <c r="P62" s="6" t="s">
        <v>38</v>
      </c>
      <c r="Q62" s="6" t="s">
        <v>78</v>
      </c>
      <c r="R62" s="6" t="s">
        <v>30</v>
      </c>
      <c r="S62" s="5" t="s">
        <v>3323</v>
      </c>
      <c r="T62" s="10"/>
      <c r="U62" s="6"/>
    </row>
    <row r="63" spans="1:21" x14ac:dyDescent="0.2">
      <c r="A63" s="8">
        <v>7.29</v>
      </c>
      <c r="B63" s="5" t="s">
        <v>18</v>
      </c>
      <c r="C63" s="5" t="s">
        <v>19</v>
      </c>
      <c r="D63" s="6" t="s">
        <v>87</v>
      </c>
      <c r="E63" s="6" t="s">
        <v>88</v>
      </c>
      <c r="F63" s="6" t="s">
        <v>33</v>
      </c>
      <c r="G63" s="5" t="s">
        <v>23</v>
      </c>
      <c r="H63" s="5"/>
      <c r="I63" s="5"/>
      <c r="J63" s="54">
        <v>100000</v>
      </c>
      <c r="K63" s="6" t="s">
        <v>89</v>
      </c>
      <c r="L63" s="6" t="s">
        <v>44</v>
      </c>
      <c r="M63" s="6" t="b">
        <v>0</v>
      </c>
      <c r="N63" s="6" t="s">
        <v>90</v>
      </c>
      <c r="O63" s="6" t="s">
        <v>91</v>
      </c>
      <c r="P63" s="6" t="s">
        <v>92</v>
      </c>
      <c r="Q63" s="6" t="s">
        <v>93</v>
      </c>
      <c r="R63" s="6" t="s">
        <v>30</v>
      </c>
      <c r="S63" s="5" t="s">
        <v>3323</v>
      </c>
      <c r="T63" s="10"/>
      <c r="U63" s="6"/>
    </row>
    <row r="64" spans="1:21" x14ac:dyDescent="0.2">
      <c r="A64" s="8">
        <v>7.26</v>
      </c>
      <c r="B64" s="5" t="s">
        <v>18</v>
      </c>
      <c r="C64" s="5" t="s">
        <v>19</v>
      </c>
      <c r="D64" s="6" t="s">
        <v>94</v>
      </c>
      <c r="E64" s="6" t="s">
        <v>95</v>
      </c>
      <c r="F64" s="6" t="s">
        <v>33</v>
      </c>
      <c r="G64" s="5" t="s">
        <v>23</v>
      </c>
      <c r="H64" s="5"/>
      <c r="I64" s="5"/>
      <c r="J64" s="54">
        <v>272500</v>
      </c>
      <c r="K64" s="6" t="s">
        <v>96</v>
      </c>
      <c r="L64" s="6" t="s">
        <v>97</v>
      </c>
      <c r="M64" s="6" t="b">
        <v>0</v>
      </c>
      <c r="N64" s="6" t="s">
        <v>98</v>
      </c>
      <c r="O64" s="6" t="s">
        <v>99</v>
      </c>
      <c r="P64" s="6" t="s">
        <v>38</v>
      </c>
      <c r="Q64" s="6" t="s">
        <v>100</v>
      </c>
      <c r="R64" s="6" t="s">
        <v>30</v>
      </c>
      <c r="S64" s="5" t="s">
        <v>3323</v>
      </c>
      <c r="T64" s="10"/>
      <c r="U64" s="6"/>
    </row>
    <row r="65" spans="1:21" x14ac:dyDescent="0.2">
      <c r="A65" s="8">
        <v>7.08</v>
      </c>
      <c r="B65" s="5" t="s">
        <v>18</v>
      </c>
      <c r="C65" s="5" t="s">
        <v>19</v>
      </c>
      <c r="D65" s="6" t="s">
        <v>118</v>
      </c>
      <c r="E65" s="6" t="s">
        <v>119</v>
      </c>
      <c r="F65" s="6" t="s">
        <v>120</v>
      </c>
      <c r="G65" s="5" t="s">
        <v>23</v>
      </c>
      <c r="H65" s="5"/>
      <c r="I65" s="5"/>
      <c r="J65" s="54">
        <v>545000</v>
      </c>
      <c r="K65" s="6" t="s">
        <v>121</v>
      </c>
      <c r="L65" s="6" t="s">
        <v>122</v>
      </c>
      <c r="M65" s="6" t="b">
        <v>0</v>
      </c>
      <c r="N65" s="6" t="s">
        <v>123</v>
      </c>
      <c r="O65" s="6" t="s">
        <v>124</v>
      </c>
      <c r="P65" s="6" t="s">
        <v>92</v>
      </c>
      <c r="Q65" s="6" t="s">
        <v>125</v>
      </c>
      <c r="R65" s="6" t="s">
        <v>30</v>
      </c>
      <c r="S65" s="5" t="s">
        <v>3323</v>
      </c>
      <c r="T65" s="10"/>
      <c r="U65" s="6"/>
    </row>
    <row r="66" spans="1:21" x14ac:dyDescent="0.2">
      <c r="A66" s="8">
        <v>7.05</v>
      </c>
      <c r="B66" s="5" t="s">
        <v>18</v>
      </c>
      <c r="C66" s="5" t="s">
        <v>19</v>
      </c>
      <c r="D66" s="6" t="s">
        <v>126</v>
      </c>
      <c r="E66" s="6" t="s">
        <v>127</v>
      </c>
      <c r="F66" s="6" t="s">
        <v>33</v>
      </c>
      <c r="G66" s="5" t="s">
        <v>23</v>
      </c>
      <c r="H66" s="5"/>
      <c r="I66" s="5"/>
      <c r="J66" s="54">
        <v>100000</v>
      </c>
      <c r="K66" s="6" t="s">
        <v>128</v>
      </c>
      <c r="L66" s="6" t="s">
        <v>129</v>
      </c>
      <c r="M66" s="6" t="b">
        <v>0</v>
      </c>
      <c r="N66" s="6" t="s">
        <v>130</v>
      </c>
      <c r="O66" s="6" t="s">
        <v>131</v>
      </c>
      <c r="P66" s="6" t="s">
        <v>28</v>
      </c>
      <c r="Q66" s="6" t="s">
        <v>132</v>
      </c>
      <c r="R66" s="6" t="s">
        <v>30</v>
      </c>
      <c r="S66" s="5" t="s">
        <v>3323</v>
      </c>
      <c r="T66" s="10"/>
      <c r="U66" s="6"/>
    </row>
    <row r="67" spans="1:21" x14ac:dyDescent="0.2">
      <c r="A67" s="8">
        <v>7.02</v>
      </c>
      <c r="B67" s="5" t="s">
        <v>18</v>
      </c>
      <c r="C67" s="5" t="s">
        <v>19</v>
      </c>
      <c r="D67" s="6" t="s">
        <v>148</v>
      </c>
      <c r="E67" s="6" t="s">
        <v>149</v>
      </c>
      <c r="F67" s="6" t="s">
        <v>33</v>
      </c>
      <c r="G67" s="5" t="s">
        <v>23</v>
      </c>
      <c r="H67" s="5"/>
      <c r="I67" s="5"/>
      <c r="J67" s="54">
        <v>100000</v>
      </c>
      <c r="K67" s="6" t="s">
        <v>150</v>
      </c>
      <c r="L67" s="6" t="s">
        <v>59</v>
      </c>
      <c r="M67" s="6" t="b">
        <v>0</v>
      </c>
      <c r="N67" s="6" t="s">
        <v>151</v>
      </c>
      <c r="O67" s="6" t="s">
        <v>152</v>
      </c>
      <c r="P67" s="6" t="s">
        <v>38</v>
      </c>
      <c r="Q67" s="6" t="s">
        <v>153</v>
      </c>
      <c r="R67" s="6" t="s">
        <v>30</v>
      </c>
      <c r="S67" s="5" t="s">
        <v>3323</v>
      </c>
      <c r="T67" s="10"/>
      <c r="U67" s="6"/>
    </row>
    <row r="68" spans="1:21" x14ac:dyDescent="0.2">
      <c r="A68" s="8">
        <v>6.97</v>
      </c>
      <c r="B68" s="5" t="s">
        <v>154</v>
      </c>
      <c r="C68" s="5" t="s">
        <v>19</v>
      </c>
      <c r="D68" s="6" t="s">
        <v>155</v>
      </c>
      <c r="E68" s="6" t="s">
        <v>156</v>
      </c>
      <c r="F68" s="6" t="s">
        <v>33</v>
      </c>
      <c r="G68" s="5" t="s">
        <v>23</v>
      </c>
      <c r="H68" s="5"/>
      <c r="I68" s="5"/>
      <c r="J68" s="54">
        <v>100000</v>
      </c>
      <c r="K68" s="6" t="s">
        <v>157</v>
      </c>
      <c r="L68" s="6" t="s">
        <v>158</v>
      </c>
      <c r="M68" s="6" t="b">
        <v>0</v>
      </c>
      <c r="N68" s="6" t="s">
        <v>159</v>
      </c>
      <c r="O68" s="6" t="s">
        <v>160</v>
      </c>
      <c r="P68" s="6" t="s">
        <v>38</v>
      </c>
      <c r="Q68" s="6" t="s">
        <v>161</v>
      </c>
      <c r="R68" s="6" t="s">
        <v>162</v>
      </c>
      <c r="S68" s="5" t="s">
        <v>3323</v>
      </c>
      <c r="T68" s="10"/>
      <c r="U68" s="6"/>
    </row>
    <row r="69" spans="1:21" x14ac:dyDescent="0.2">
      <c r="A69" s="8">
        <v>6.97</v>
      </c>
      <c r="B69" s="5" t="s">
        <v>154</v>
      </c>
      <c r="C69" s="5" t="s">
        <v>19</v>
      </c>
      <c r="D69" s="6" t="s">
        <v>163</v>
      </c>
      <c r="E69" s="6" t="s">
        <v>164</v>
      </c>
      <c r="F69" s="6" t="s">
        <v>33</v>
      </c>
      <c r="G69" s="5" t="s">
        <v>23</v>
      </c>
      <c r="H69" s="5"/>
      <c r="I69" s="5"/>
      <c r="J69" s="54">
        <v>125000</v>
      </c>
      <c r="K69" s="6" t="s">
        <v>165</v>
      </c>
      <c r="L69" s="6" t="s">
        <v>59</v>
      </c>
      <c r="M69" s="6" t="b">
        <v>0</v>
      </c>
      <c r="N69" s="6" t="s">
        <v>166</v>
      </c>
      <c r="O69" s="6" t="s">
        <v>167</v>
      </c>
      <c r="P69" s="6" t="s">
        <v>38</v>
      </c>
      <c r="Q69" s="6" t="s">
        <v>168</v>
      </c>
      <c r="R69" s="6" t="s">
        <v>162</v>
      </c>
      <c r="S69" s="5" t="s">
        <v>3323</v>
      </c>
      <c r="T69" s="10"/>
      <c r="U69" s="6"/>
    </row>
    <row r="70" spans="1:21" x14ac:dyDescent="0.2">
      <c r="A70" s="8">
        <v>6.95</v>
      </c>
      <c r="B70" s="5" t="s">
        <v>154</v>
      </c>
      <c r="C70" s="5" t="s">
        <v>19</v>
      </c>
      <c r="D70" s="6" t="s">
        <v>169</v>
      </c>
      <c r="E70" s="6" t="s">
        <v>170</v>
      </c>
      <c r="F70" s="6" t="s">
        <v>73</v>
      </c>
      <c r="G70" s="5" t="s">
        <v>23</v>
      </c>
      <c r="H70" s="5"/>
      <c r="I70" s="5"/>
      <c r="J70" s="54">
        <v>1000000</v>
      </c>
      <c r="K70" s="6" t="s">
        <v>171</v>
      </c>
      <c r="L70" s="6" t="s">
        <v>172</v>
      </c>
      <c r="M70" s="6" t="b">
        <v>0</v>
      </c>
      <c r="N70" s="6" t="s">
        <v>173</v>
      </c>
      <c r="O70" s="6" t="s">
        <v>174</v>
      </c>
      <c r="P70" s="6" t="s">
        <v>175</v>
      </c>
      <c r="Q70" s="6" t="s">
        <v>176</v>
      </c>
      <c r="R70" s="6" t="s">
        <v>162</v>
      </c>
      <c r="S70" s="5" t="s">
        <v>3323</v>
      </c>
      <c r="T70" s="10"/>
      <c r="U70" s="6"/>
    </row>
    <row r="71" spans="1:21" x14ac:dyDescent="0.2">
      <c r="A71" s="8">
        <v>6.94</v>
      </c>
      <c r="B71" s="5" t="s">
        <v>154</v>
      </c>
      <c r="C71" s="5" t="s">
        <v>19</v>
      </c>
      <c r="D71" s="6" t="s">
        <v>192</v>
      </c>
      <c r="E71" s="6" t="s">
        <v>193</v>
      </c>
      <c r="F71" s="6" t="s">
        <v>73</v>
      </c>
      <c r="G71" s="5" t="s">
        <v>23</v>
      </c>
      <c r="H71" s="5"/>
      <c r="I71" s="5"/>
      <c r="J71" s="54">
        <v>750000</v>
      </c>
      <c r="K71" s="6" t="s">
        <v>194</v>
      </c>
      <c r="L71" s="6" t="s">
        <v>195</v>
      </c>
      <c r="M71" s="6" t="b">
        <v>0</v>
      </c>
      <c r="N71" s="6" t="s">
        <v>196</v>
      </c>
      <c r="O71" s="6" t="s">
        <v>197</v>
      </c>
      <c r="P71" s="6" t="s">
        <v>38</v>
      </c>
      <c r="Q71" s="6" t="s">
        <v>198</v>
      </c>
      <c r="R71" s="6" t="s">
        <v>162</v>
      </c>
      <c r="S71" s="5" t="s">
        <v>3323</v>
      </c>
      <c r="T71" s="10"/>
      <c r="U71" s="6"/>
    </row>
    <row r="72" spans="1:21" x14ac:dyDescent="0.2">
      <c r="A72" s="8">
        <v>6.91</v>
      </c>
      <c r="B72" s="5" t="s">
        <v>154</v>
      </c>
      <c r="C72" s="5" t="s">
        <v>19</v>
      </c>
      <c r="D72" s="6" t="s">
        <v>206</v>
      </c>
      <c r="E72" s="6" t="s">
        <v>207</v>
      </c>
      <c r="F72" s="6" t="s">
        <v>33</v>
      </c>
      <c r="G72" s="5" t="s">
        <v>23</v>
      </c>
      <c r="H72" s="5"/>
      <c r="I72" s="5"/>
      <c r="J72" s="54">
        <v>250000</v>
      </c>
      <c r="K72" s="6" t="s">
        <v>208</v>
      </c>
      <c r="L72" s="6" t="s">
        <v>209</v>
      </c>
      <c r="M72" s="6" t="b">
        <v>0</v>
      </c>
      <c r="N72" s="6" t="s">
        <v>210</v>
      </c>
      <c r="O72" s="6" t="s">
        <v>211</v>
      </c>
      <c r="P72" s="6" t="s">
        <v>92</v>
      </c>
      <c r="Q72" s="6" t="s">
        <v>176</v>
      </c>
      <c r="R72" s="6" t="s">
        <v>162</v>
      </c>
      <c r="S72" s="5" t="s">
        <v>3323</v>
      </c>
      <c r="T72" s="10"/>
      <c r="U72" s="6"/>
    </row>
    <row r="73" spans="1:21" x14ac:dyDescent="0.2">
      <c r="A73" s="8">
        <v>6.91</v>
      </c>
      <c r="B73" s="5" t="s">
        <v>154</v>
      </c>
      <c r="C73" s="5" t="s">
        <v>19</v>
      </c>
      <c r="D73" s="6" t="s">
        <v>212</v>
      </c>
      <c r="E73" s="6" t="s">
        <v>213</v>
      </c>
      <c r="F73" s="6" t="s">
        <v>73</v>
      </c>
      <c r="G73" s="5" t="s">
        <v>23</v>
      </c>
      <c r="H73" s="5"/>
      <c r="I73" s="5"/>
      <c r="J73" s="54">
        <v>750000</v>
      </c>
      <c r="K73" s="6" t="s">
        <v>214</v>
      </c>
      <c r="L73" s="6" t="s">
        <v>215</v>
      </c>
      <c r="M73" s="6" t="b">
        <v>0</v>
      </c>
      <c r="N73" s="6" t="s">
        <v>216</v>
      </c>
      <c r="O73" s="6" t="s">
        <v>217</v>
      </c>
      <c r="P73" s="6" t="s">
        <v>38</v>
      </c>
      <c r="Q73" s="6" t="s">
        <v>198</v>
      </c>
      <c r="R73" s="6" t="s">
        <v>162</v>
      </c>
      <c r="S73" s="5" t="s">
        <v>3323</v>
      </c>
      <c r="T73" s="10"/>
      <c r="U73" s="6"/>
    </row>
    <row r="74" spans="1:21" hidden="1" x14ac:dyDescent="0.2">
      <c r="A74">
        <v>6.37</v>
      </c>
      <c r="B74" t="s">
        <v>514</v>
      </c>
      <c r="C74" t="s">
        <v>19</v>
      </c>
      <c r="D74" t="s">
        <v>515</v>
      </c>
      <c r="E74" t="s">
        <v>516</v>
      </c>
      <c r="F74" t="s">
        <v>120</v>
      </c>
      <c r="G74" t="s">
        <v>23</v>
      </c>
      <c r="J74">
        <v>250000</v>
      </c>
      <c r="K74" t="s">
        <v>517</v>
      </c>
      <c r="L74" t="s">
        <v>518</v>
      </c>
      <c r="M74" t="b">
        <v>0</v>
      </c>
      <c r="N74" t="s">
        <v>519</v>
      </c>
      <c r="O74" t="s">
        <v>274</v>
      </c>
      <c r="P74" t="s">
        <v>520</v>
      </c>
      <c r="Q74" t="s">
        <v>521</v>
      </c>
      <c r="R74" t="s">
        <v>162</v>
      </c>
      <c r="S74" t="s">
        <v>3323</v>
      </c>
      <c r="T74" s="2"/>
    </row>
    <row r="75" spans="1:21" x14ac:dyDescent="0.2">
      <c r="A75" s="8">
        <v>6.9</v>
      </c>
      <c r="B75" s="5" t="s">
        <v>154</v>
      </c>
      <c r="C75" s="5" t="s">
        <v>19</v>
      </c>
      <c r="D75" s="6" t="s">
        <v>226</v>
      </c>
      <c r="E75" s="6" t="s">
        <v>227</v>
      </c>
      <c r="F75" s="6" t="s">
        <v>42</v>
      </c>
      <c r="G75" s="5" t="s">
        <v>23</v>
      </c>
      <c r="H75" s="5"/>
      <c r="I75" s="5"/>
      <c r="J75" s="54">
        <v>10000</v>
      </c>
      <c r="K75" s="6" t="s">
        <v>228</v>
      </c>
      <c r="L75" s="6" t="s">
        <v>229</v>
      </c>
      <c r="M75" s="6" t="b">
        <v>0</v>
      </c>
      <c r="N75" s="6" t="s">
        <v>230</v>
      </c>
      <c r="O75" s="6" t="s">
        <v>231</v>
      </c>
      <c r="P75" s="6"/>
      <c r="Q75" s="6" t="s">
        <v>232</v>
      </c>
      <c r="R75" s="6" t="s">
        <v>162</v>
      </c>
      <c r="S75" s="5" t="s">
        <v>3323</v>
      </c>
      <c r="T75" s="10"/>
      <c r="U75" s="6"/>
    </row>
    <row r="76" spans="1:21" x14ac:dyDescent="0.2">
      <c r="A76" s="8">
        <v>6.89</v>
      </c>
      <c r="B76" s="5" t="s">
        <v>154</v>
      </c>
      <c r="C76" s="5" t="s">
        <v>19</v>
      </c>
      <c r="D76" s="6" t="s">
        <v>233</v>
      </c>
      <c r="E76" s="6" t="s">
        <v>234</v>
      </c>
      <c r="F76" s="6" t="s">
        <v>22</v>
      </c>
      <c r="G76" s="5" t="s">
        <v>23</v>
      </c>
      <c r="H76" s="5"/>
      <c r="I76" s="5"/>
      <c r="J76" s="54">
        <v>100000</v>
      </c>
      <c r="K76" s="6" t="s">
        <v>235</v>
      </c>
      <c r="L76" s="6" t="s">
        <v>236</v>
      </c>
      <c r="M76" s="6" t="b">
        <v>0</v>
      </c>
      <c r="N76" s="6" t="s">
        <v>237</v>
      </c>
      <c r="O76" s="6" t="s">
        <v>238</v>
      </c>
      <c r="P76" s="6" t="s">
        <v>38</v>
      </c>
      <c r="Q76" s="6" t="s">
        <v>239</v>
      </c>
      <c r="R76" s="6" t="s">
        <v>162</v>
      </c>
      <c r="S76" s="5" t="s">
        <v>3323</v>
      </c>
      <c r="T76" s="10"/>
      <c r="U76" s="6"/>
    </row>
    <row r="77" spans="1:21" x14ac:dyDescent="0.2">
      <c r="A77" s="8">
        <v>6.89</v>
      </c>
      <c r="B77" s="5" t="s">
        <v>154</v>
      </c>
      <c r="C77" s="5" t="s">
        <v>19</v>
      </c>
      <c r="D77" s="6" t="s">
        <v>240</v>
      </c>
      <c r="E77" s="6" t="s">
        <v>103</v>
      </c>
      <c r="F77" s="6" t="s">
        <v>22</v>
      </c>
      <c r="G77" s="5" t="s">
        <v>23</v>
      </c>
      <c r="H77" s="5"/>
      <c r="I77" s="5"/>
      <c r="J77" s="54">
        <v>500000</v>
      </c>
      <c r="K77" s="6" t="s">
        <v>105</v>
      </c>
      <c r="L77" s="6" t="s">
        <v>241</v>
      </c>
      <c r="M77" s="6" t="b">
        <v>0</v>
      </c>
      <c r="N77" s="6" t="s">
        <v>242</v>
      </c>
      <c r="O77" s="6" t="s">
        <v>243</v>
      </c>
      <c r="P77" s="6" t="s">
        <v>28</v>
      </c>
      <c r="Q77" s="6" t="s">
        <v>244</v>
      </c>
      <c r="R77" s="6" t="s">
        <v>162</v>
      </c>
      <c r="S77" s="5" t="s">
        <v>3323</v>
      </c>
      <c r="T77" s="10"/>
      <c r="U77" s="6"/>
    </row>
    <row r="78" spans="1:21" x14ac:dyDescent="0.2">
      <c r="A78" s="8">
        <v>6.87</v>
      </c>
      <c r="B78" s="5" t="s">
        <v>154</v>
      </c>
      <c r="C78" s="5" t="s">
        <v>19</v>
      </c>
      <c r="D78" s="6" t="s">
        <v>245</v>
      </c>
      <c r="E78" s="6" t="s">
        <v>246</v>
      </c>
      <c r="F78" s="6" t="s">
        <v>33</v>
      </c>
      <c r="G78" s="5" t="s">
        <v>23</v>
      </c>
      <c r="H78" s="5"/>
      <c r="I78" s="5"/>
      <c r="J78" s="54">
        <v>1090000</v>
      </c>
      <c r="K78" s="6" t="s">
        <v>247</v>
      </c>
      <c r="L78" s="6" t="s">
        <v>248</v>
      </c>
      <c r="M78" s="6" t="b">
        <v>0</v>
      </c>
      <c r="N78" s="6" t="s">
        <v>249</v>
      </c>
      <c r="O78" s="6" t="s">
        <v>250</v>
      </c>
      <c r="P78" s="6" t="s">
        <v>38</v>
      </c>
      <c r="Q78" s="6" t="s">
        <v>251</v>
      </c>
      <c r="R78" s="6" t="s">
        <v>162</v>
      </c>
      <c r="S78" s="5" t="s">
        <v>3323</v>
      </c>
      <c r="T78" s="10"/>
      <c r="U78" s="6"/>
    </row>
    <row r="79" spans="1:21" x14ac:dyDescent="0.2">
      <c r="A79" s="8">
        <v>6.83</v>
      </c>
      <c r="B79" s="5" t="s">
        <v>154</v>
      </c>
      <c r="C79" s="5" t="s">
        <v>19</v>
      </c>
      <c r="D79" s="6" t="s">
        <v>264</v>
      </c>
      <c r="E79" s="6" t="s">
        <v>265</v>
      </c>
      <c r="F79" s="6" t="s">
        <v>33</v>
      </c>
      <c r="G79" s="5" t="s">
        <v>23</v>
      </c>
      <c r="H79" s="5"/>
      <c r="I79" s="5"/>
      <c r="J79" s="54">
        <v>545000</v>
      </c>
      <c r="K79" s="6" t="s">
        <v>266</v>
      </c>
      <c r="L79" s="6" t="s">
        <v>267</v>
      </c>
      <c r="M79" s="6" t="b">
        <v>0</v>
      </c>
      <c r="N79" s="6" t="s">
        <v>268</v>
      </c>
      <c r="O79" s="6" t="s">
        <v>269</v>
      </c>
      <c r="P79" s="6" t="s">
        <v>38</v>
      </c>
      <c r="Q79" s="6" t="s">
        <v>270</v>
      </c>
      <c r="R79" s="6" t="s">
        <v>162</v>
      </c>
      <c r="S79" s="5" t="s">
        <v>3323</v>
      </c>
      <c r="T79" s="10"/>
      <c r="U79" s="6"/>
    </row>
    <row r="80" spans="1:21" hidden="1" x14ac:dyDescent="0.2">
      <c r="A80">
        <v>6.33</v>
      </c>
      <c r="B80" t="s">
        <v>514</v>
      </c>
      <c r="C80" t="s">
        <v>19</v>
      </c>
      <c r="D80" t="s">
        <v>552</v>
      </c>
      <c r="E80" t="s">
        <v>553</v>
      </c>
      <c r="F80" t="s">
        <v>33</v>
      </c>
      <c r="G80" t="s">
        <v>23</v>
      </c>
      <c r="H80" s="1">
        <v>46255</v>
      </c>
      <c r="I80">
        <v>7</v>
      </c>
      <c r="J80">
        <v>0</v>
      </c>
      <c r="K80" t="s">
        <v>554</v>
      </c>
      <c r="L80" t="s">
        <v>555</v>
      </c>
      <c r="M80" t="b">
        <v>0</v>
      </c>
      <c r="N80" t="s">
        <v>556</v>
      </c>
      <c r="O80" t="s">
        <v>557</v>
      </c>
      <c r="P80" t="s">
        <v>558</v>
      </c>
      <c r="Q80" t="s">
        <v>559</v>
      </c>
      <c r="R80" t="s">
        <v>48</v>
      </c>
      <c r="S80" t="s">
        <v>3323</v>
      </c>
      <c r="T80" s="2"/>
    </row>
    <row r="81" spans="1:21" x14ac:dyDescent="0.2">
      <c r="A81" s="8">
        <v>6.82</v>
      </c>
      <c r="B81" s="5" t="s">
        <v>154</v>
      </c>
      <c r="C81" s="5" t="s">
        <v>19</v>
      </c>
      <c r="D81" s="6" t="s">
        <v>271</v>
      </c>
      <c r="E81" s="6" t="s">
        <v>103</v>
      </c>
      <c r="F81" s="6" t="s">
        <v>33</v>
      </c>
      <c r="G81" s="5" t="s">
        <v>23</v>
      </c>
      <c r="H81" s="5"/>
      <c r="I81" s="5"/>
      <c r="J81" s="54">
        <v>0</v>
      </c>
      <c r="K81" s="6" t="s">
        <v>272</v>
      </c>
      <c r="L81" s="6" t="s">
        <v>59</v>
      </c>
      <c r="M81" s="6" t="b">
        <v>0</v>
      </c>
      <c r="N81" s="6" t="s">
        <v>273</v>
      </c>
      <c r="O81" s="6" t="s">
        <v>274</v>
      </c>
      <c r="P81" s="6" t="s">
        <v>28</v>
      </c>
      <c r="Q81" s="6" t="s">
        <v>275</v>
      </c>
      <c r="R81" s="6" t="s">
        <v>162</v>
      </c>
      <c r="S81" s="5" t="s">
        <v>3323</v>
      </c>
      <c r="T81" s="10"/>
      <c r="U81" s="6"/>
    </row>
    <row r="82" spans="1:21" x14ac:dyDescent="0.2">
      <c r="A82" s="8">
        <v>6.79</v>
      </c>
      <c r="B82" s="5" t="s">
        <v>154</v>
      </c>
      <c r="C82" s="5" t="s">
        <v>19</v>
      </c>
      <c r="D82" s="6" t="s">
        <v>283</v>
      </c>
      <c r="E82" s="6" t="s">
        <v>284</v>
      </c>
      <c r="F82" s="6" t="s">
        <v>22</v>
      </c>
      <c r="G82" s="5" t="s">
        <v>23</v>
      </c>
      <c r="H82" s="5"/>
      <c r="I82" s="5"/>
      <c r="J82" s="54">
        <v>50000</v>
      </c>
      <c r="K82" s="6" t="s">
        <v>285</v>
      </c>
      <c r="L82" s="6" t="s">
        <v>286</v>
      </c>
      <c r="M82" s="6" t="b">
        <v>0</v>
      </c>
      <c r="N82" s="6" t="s">
        <v>287</v>
      </c>
      <c r="O82" s="6" t="s">
        <v>288</v>
      </c>
      <c r="P82" s="6" t="s">
        <v>38</v>
      </c>
      <c r="Q82" s="6" t="s">
        <v>239</v>
      </c>
      <c r="R82" s="6" t="s">
        <v>162</v>
      </c>
      <c r="S82" s="5" t="s">
        <v>3323</v>
      </c>
      <c r="T82" s="10"/>
      <c r="U82" s="6"/>
    </row>
    <row r="83" spans="1:21" x14ac:dyDescent="0.2">
      <c r="A83" s="8">
        <v>6.78</v>
      </c>
      <c r="B83" s="5" t="s">
        <v>154</v>
      </c>
      <c r="C83" s="5" t="s">
        <v>19</v>
      </c>
      <c r="D83" s="6" t="s">
        <v>289</v>
      </c>
      <c r="E83" s="6" t="s">
        <v>103</v>
      </c>
      <c r="F83" s="6" t="s">
        <v>290</v>
      </c>
      <c r="G83" s="5" t="s">
        <v>23</v>
      </c>
      <c r="H83" s="5"/>
      <c r="I83" s="5"/>
      <c r="J83" s="54">
        <v>0</v>
      </c>
      <c r="K83" s="6" t="s">
        <v>291</v>
      </c>
      <c r="L83" s="6" t="s">
        <v>292</v>
      </c>
      <c r="M83" s="6" t="b">
        <v>0</v>
      </c>
      <c r="N83" s="6" t="s">
        <v>293</v>
      </c>
      <c r="O83" s="6" t="s">
        <v>294</v>
      </c>
      <c r="P83" s="6" t="s">
        <v>28</v>
      </c>
      <c r="Q83" s="6" t="s">
        <v>295</v>
      </c>
      <c r="R83" s="6" t="s">
        <v>162</v>
      </c>
      <c r="S83" s="5" t="s">
        <v>3323</v>
      </c>
      <c r="T83" s="10"/>
      <c r="U83" s="6"/>
    </row>
    <row r="84" spans="1:21" x14ac:dyDescent="0.2">
      <c r="A84" s="8">
        <v>6.76</v>
      </c>
      <c r="B84" s="5" t="s">
        <v>154</v>
      </c>
      <c r="C84" s="5" t="s">
        <v>19</v>
      </c>
      <c r="D84" s="6" t="s">
        <v>296</v>
      </c>
      <c r="E84" s="6" t="s">
        <v>297</v>
      </c>
      <c r="F84" s="6" t="s">
        <v>33</v>
      </c>
      <c r="G84" s="5" t="s">
        <v>23</v>
      </c>
      <c r="H84" s="5"/>
      <c r="I84" s="5"/>
      <c r="J84" s="54">
        <v>250000</v>
      </c>
      <c r="K84" s="6" t="s">
        <v>298</v>
      </c>
      <c r="L84" s="6" t="s">
        <v>299</v>
      </c>
      <c r="M84" s="6" t="b">
        <v>0</v>
      </c>
      <c r="N84" s="6" t="s">
        <v>300</v>
      </c>
      <c r="O84" s="6" t="s">
        <v>301</v>
      </c>
      <c r="P84" s="6"/>
      <c r="Q84" s="6" t="s">
        <v>302</v>
      </c>
      <c r="R84" s="6" t="s">
        <v>162</v>
      </c>
      <c r="S84" s="5" t="s">
        <v>3323</v>
      </c>
      <c r="T84" s="10"/>
      <c r="U84" s="6"/>
    </row>
    <row r="85" spans="1:21" x14ac:dyDescent="0.2">
      <c r="A85" s="8">
        <v>6.71</v>
      </c>
      <c r="B85" s="5" t="s">
        <v>154</v>
      </c>
      <c r="C85" s="5" t="s">
        <v>19</v>
      </c>
      <c r="D85" s="6" t="s">
        <v>316</v>
      </c>
      <c r="E85" s="6" t="s">
        <v>219</v>
      </c>
      <c r="F85" s="6" t="s">
        <v>33</v>
      </c>
      <c r="G85" s="5" t="s">
        <v>23</v>
      </c>
      <c r="H85" s="5"/>
      <c r="I85" s="5"/>
      <c r="J85" s="54">
        <v>0</v>
      </c>
      <c r="K85" s="6" t="s">
        <v>317</v>
      </c>
      <c r="L85" s="6" t="s">
        <v>318</v>
      </c>
      <c r="M85" s="6" t="b">
        <v>0</v>
      </c>
      <c r="N85" s="6" t="s">
        <v>319</v>
      </c>
      <c r="O85" s="6" t="s">
        <v>320</v>
      </c>
      <c r="P85" s="6" t="s">
        <v>38</v>
      </c>
      <c r="Q85" s="6" t="s">
        <v>321</v>
      </c>
      <c r="R85" s="6" t="s">
        <v>162</v>
      </c>
      <c r="S85" s="5" t="s">
        <v>3323</v>
      </c>
      <c r="T85" s="10"/>
      <c r="U85" s="6"/>
    </row>
    <row r="86" spans="1:21" x14ac:dyDescent="0.2">
      <c r="A86" s="8">
        <v>6.71</v>
      </c>
      <c r="B86" s="5" t="s">
        <v>154</v>
      </c>
      <c r="C86" s="5" t="s">
        <v>19</v>
      </c>
      <c r="D86" s="6" t="s">
        <v>322</v>
      </c>
      <c r="E86" s="6" t="s">
        <v>193</v>
      </c>
      <c r="F86" s="6" t="s">
        <v>73</v>
      </c>
      <c r="G86" s="5" t="s">
        <v>23</v>
      </c>
      <c r="H86" s="5"/>
      <c r="I86" s="5"/>
      <c r="J86" s="54">
        <v>1000000</v>
      </c>
      <c r="K86" s="6" t="s">
        <v>323</v>
      </c>
      <c r="L86" s="6" t="s">
        <v>324</v>
      </c>
      <c r="M86" s="6" t="b">
        <v>0</v>
      </c>
      <c r="N86" s="6" t="s">
        <v>325</v>
      </c>
      <c r="O86" s="6" t="s">
        <v>326</v>
      </c>
      <c r="P86" s="6" t="s">
        <v>38</v>
      </c>
      <c r="Q86" s="6" t="s">
        <v>327</v>
      </c>
      <c r="R86" s="6" t="s">
        <v>162</v>
      </c>
      <c r="S86" s="5" t="s">
        <v>3323</v>
      </c>
      <c r="T86" s="10"/>
      <c r="U86" s="6"/>
    </row>
    <row r="87" spans="1:21" x14ac:dyDescent="0.2">
      <c r="A87" s="8">
        <v>6.69</v>
      </c>
      <c r="B87" s="5" t="s">
        <v>154</v>
      </c>
      <c r="C87" s="5" t="s">
        <v>19</v>
      </c>
      <c r="D87" s="6" t="s">
        <v>335</v>
      </c>
      <c r="E87" s="6" t="s">
        <v>336</v>
      </c>
      <c r="F87" s="6" t="s">
        <v>33</v>
      </c>
      <c r="G87" s="5" t="s">
        <v>23</v>
      </c>
      <c r="H87" s="5"/>
      <c r="I87" s="5"/>
      <c r="J87" s="54">
        <v>1000000</v>
      </c>
      <c r="K87" s="6" t="s">
        <v>337</v>
      </c>
      <c r="L87" s="6" t="s">
        <v>338</v>
      </c>
      <c r="M87" s="6" t="b">
        <v>0</v>
      </c>
      <c r="N87" s="6" t="s">
        <v>339</v>
      </c>
      <c r="O87" s="6" t="s">
        <v>340</v>
      </c>
      <c r="P87" s="6" t="s">
        <v>38</v>
      </c>
      <c r="Q87" s="6" t="s">
        <v>341</v>
      </c>
      <c r="R87" s="6" t="s">
        <v>162</v>
      </c>
      <c r="S87" s="5" t="s">
        <v>3323</v>
      </c>
      <c r="T87" s="10"/>
      <c r="U87" s="6"/>
    </row>
    <row r="88" spans="1:21" x14ac:dyDescent="0.2">
      <c r="A88" s="8">
        <v>6.67</v>
      </c>
      <c r="B88" s="5" t="s">
        <v>154</v>
      </c>
      <c r="C88" s="5" t="s">
        <v>19</v>
      </c>
      <c r="D88" s="6" t="s">
        <v>342</v>
      </c>
      <c r="E88" s="6" t="s">
        <v>343</v>
      </c>
      <c r="F88" s="6" t="s">
        <v>33</v>
      </c>
      <c r="G88" s="5" t="s">
        <v>23</v>
      </c>
      <c r="H88" s="5"/>
      <c r="I88" s="5"/>
      <c r="J88" s="54">
        <v>30000</v>
      </c>
      <c r="K88" s="6" t="s">
        <v>344</v>
      </c>
      <c r="L88" s="6" t="s">
        <v>345</v>
      </c>
      <c r="M88" s="6" t="b">
        <v>0</v>
      </c>
      <c r="N88" s="6" t="s">
        <v>346</v>
      </c>
      <c r="O88" s="6" t="s">
        <v>347</v>
      </c>
      <c r="P88" s="6" t="s">
        <v>38</v>
      </c>
      <c r="Q88" s="6" t="s">
        <v>348</v>
      </c>
      <c r="R88" s="6" t="s">
        <v>162</v>
      </c>
      <c r="S88" s="5" t="s">
        <v>3323</v>
      </c>
      <c r="T88" s="10"/>
      <c r="U88" s="6"/>
    </row>
    <row r="89" spans="1:21" x14ac:dyDescent="0.2">
      <c r="A89" s="8">
        <v>6.66</v>
      </c>
      <c r="B89" s="5" t="s">
        <v>154</v>
      </c>
      <c r="C89" s="5" t="s">
        <v>19</v>
      </c>
      <c r="D89" s="6" t="s">
        <v>349</v>
      </c>
      <c r="E89" s="6" t="s">
        <v>350</v>
      </c>
      <c r="F89" s="6" t="s">
        <v>33</v>
      </c>
      <c r="G89" s="5" t="s">
        <v>23</v>
      </c>
      <c r="H89" s="5"/>
      <c r="I89" s="5"/>
      <c r="J89" s="54">
        <v>419100</v>
      </c>
      <c r="K89" s="6" t="s">
        <v>351</v>
      </c>
      <c r="L89" s="6" t="s">
        <v>352</v>
      </c>
      <c r="M89" s="6" t="b">
        <v>0</v>
      </c>
      <c r="N89" s="6" t="s">
        <v>353</v>
      </c>
      <c r="O89" s="6" t="s">
        <v>354</v>
      </c>
      <c r="P89" s="6"/>
      <c r="Q89" s="6" t="s">
        <v>176</v>
      </c>
      <c r="R89" s="6" t="s">
        <v>162</v>
      </c>
      <c r="S89" s="5" t="s">
        <v>3323</v>
      </c>
      <c r="T89" s="10"/>
      <c r="U89" s="6"/>
    </row>
    <row r="90" spans="1:21" x14ac:dyDescent="0.2">
      <c r="A90" s="8">
        <v>6.63</v>
      </c>
      <c r="B90" s="5" t="s">
        <v>154</v>
      </c>
      <c r="C90" s="5" t="s">
        <v>19</v>
      </c>
      <c r="D90" s="6" t="s">
        <v>361</v>
      </c>
      <c r="E90" s="6" t="s">
        <v>362</v>
      </c>
      <c r="F90" s="6" t="s">
        <v>73</v>
      </c>
      <c r="G90" s="5" t="s">
        <v>23</v>
      </c>
      <c r="H90" s="5"/>
      <c r="I90" s="5"/>
      <c r="J90" s="54">
        <v>500000</v>
      </c>
      <c r="K90" s="6" t="s">
        <v>363</v>
      </c>
      <c r="L90" s="6" t="s">
        <v>364</v>
      </c>
      <c r="M90" s="6" t="b">
        <v>0</v>
      </c>
      <c r="N90" s="6" t="s">
        <v>365</v>
      </c>
      <c r="O90" s="6" t="s">
        <v>366</v>
      </c>
      <c r="P90" s="6" t="s">
        <v>38</v>
      </c>
      <c r="Q90" s="6" t="s">
        <v>176</v>
      </c>
      <c r="R90" s="6" t="s">
        <v>162</v>
      </c>
      <c r="S90" s="5" t="s">
        <v>3323</v>
      </c>
      <c r="T90" s="10"/>
      <c r="U90" s="6"/>
    </row>
    <row r="91" spans="1:21" x14ac:dyDescent="0.2">
      <c r="A91" s="8">
        <v>6.63</v>
      </c>
      <c r="B91" s="5" t="s">
        <v>154</v>
      </c>
      <c r="C91" s="5" t="s">
        <v>19</v>
      </c>
      <c r="D91" s="6" t="s">
        <v>367</v>
      </c>
      <c r="E91" s="6" t="s">
        <v>103</v>
      </c>
      <c r="F91" s="6" t="s">
        <v>22</v>
      </c>
      <c r="G91" s="5" t="s">
        <v>23</v>
      </c>
      <c r="H91" s="5"/>
      <c r="I91" s="5"/>
      <c r="J91" s="54">
        <v>245000</v>
      </c>
      <c r="K91" s="6" t="s">
        <v>368</v>
      </c>
      <c r="L91" s="6" t="s">
        <v>369</v>
      </c>
      <c r="M91" s="6" t="b">
        <v>0</v>
      </c>
      <c r="N91" s="6" t="s">
        <v>370</v>
      </c>
      <c r="O91" s="6" t="s">
        <v>243</v>
      </c>
      <c r="P91" s="6" t="s">
        <v>28</v>
      </c>
      <c r="Q91" s="6" t="s">
        <v>371</v>
      </c>
      <c r="R91" s="6" t="s">
        <v>162</v>
      </c>
      <c r="S91" s="5" t="s">
        <v>3323</v>
      </c>
      <c r="T91" s="10"/>
      <c r="U91" s="6"/>
    </row>
    <row r="92" spans="1:21" x14ac:dyDescent="0.2">
      <c r="A92" s="8">
        <v>6.62</v>
      </c>
      <c r="B92" s="5" t="s">
        <v>154</v>
      </c>
      <c r="C92" s="5" t="s">
        <v>19</v>
      </c>
      <c r="D92" s="6" t="s">
        <v>372</v>
      </c>
      <c r="E92" s="6" t="s">
        <v>373</v>
      </c>
      <c r="F92" s="6" t="s">
        <v>73</v>
      </c>
      <c r="G92" s="5" t="s">
        <v>23</v>
      </c>
      <c r="H92" s="5"/>
      <c r="I92" s="5"/>
      <c r="J92" s="54">
        <v>500000</v>
      </c>
      <c r="K92" s="6" t="s">
        <v>374</v>
      </c>
      <c r="L92" s="6" t="s">
        <v>375</v>
      </c>
      <c r="M92" s="6" t="b">
        <v>0</v>
      </c>
      <c r="N92" s="6" t="s">
        <v>376</v>
      </c>
      <c r="O92" s="6" t="s">
        <v>377</v>
      </c>
      <c r="P92" s="6" t="s">
        <v>28</v>
      </c>
      <c r="Q92" s="6" t="s">
        <v>378</v>
      </c>
      <c r="R92" s="6" t="s">
        <v>162</v>
      </c>
      <c r="S92" s="5" t="s">
        <v>3323</v>
      </c>
      <c r="T92" s="10"/>
      <c r="U92" s="6"/>
    </row>
    <row r="93" spans="1:21" x14ac:dyDescent="0.2">
      <c r="A93" s="8">
        <v>6.57</v>
      </c>
      <c r="B93" s="5" t="s">
        <v>154</v>
      </c>
      <c r="C93" s="5" t="s">
        <v>19</v>
      </c>
      <c r="D93" s="6" t="s">
        <v>379</v>
      </c>
      <c r="E93" s="6" t="s">
        <v>380</v>
      </c>
      <c r="F93" s="6" t="s">
        <v>33</v>
      </c>
      <c r="G93" s="5" t="s">
        <v>23</v>
      </c>
      <c r="H93" s="5"/>
      <c r="I93" s="5"/>
      <c r="J93" s="54">
        <v>150000</v>
      </c>
      <c r="K93" s="6" t="s">
        <v>381</v>
      </c>
      <c r="L93" s="6" t="s">
        <v>382</v>
      </c>
      <c r="M93" s="6" t="b">
        <v>0</v>
      </c>
      <c r="N93" s="6" t="s">
        <v>383</v>
      </c>
      <c r="O93" s="6" t="s">
        <v>384</v>
      </c>
      <c r="P93" s="6" t="s">
        <v>38</v>
      </c>
      <c r="Q93" s="6" t="s">
        <v>385</v>
      </c>
      <c r="R93" s="6" t="s">
        <v>162</v>
      </c>
      <c r="S93" s="5" t="s">
        <v>3323</v>
      </c>
      <c r="T93" s="10"/>
      <c r="U93" s="6"/>
    </row>
    <row r="94" spans="1:21" x14ac:dyDescent="0.2">
      <c r="A94" s="8">
        <v>6.56</v>
      </c>
      <c r="B94" s="5" t="s">
        <v>154</v>
      </c>
      <c r="C94" s="5" t="s">
        <v>101</v>
      </c>
      <c r="D94" s="6" t="s">
        <v>386</v>
      </c>
      <c r="E94" s="6" t="s">
        <v>387</v>
      </c>
      <c r="F94" s="6" t="s">
        <v>22</v>
      </c>
      <c r="G94" s="5" t="s">
        <v>104</v>
      </c>
      <c r="H94" s="5"/>
      <c r="I94" s="5"/>
      <c r="J94" s="54">
        <v>900000</v>
      </c>
      <c r="K94" s="6" t="s">
        <v>105</v>
      </c>
      <c r="L94" s="6" t="s">
        <v>388</v>
      </c>
      <c r="M94" s="6" t="b">
        <v>0</v>
      </c>
      <c r="N94" s="6" t="s">
        <v>389</v>
      </c>
      <c r="O94" s="6" t="s">
        <v>243</v>
      </c>
      <c r="P94" s="6" t="s">
        <v>38</v>
      </c>
      <c r="Q94" s="6" t="s">
        <v>390</v>
      </c>
      <c r="R94" s="6" t="s">
        <v>110</v>
      </c>
      <c r="S94" s="5" t="s">
        <v>3323</v>
      </c>
      <c r="T94" s="10"/>
      <c r="U94" s="6"/>
    </row>
    <row r="95" spans="1:21" x14ac:dyDescent="0.2">
      <c r="A95" s="8">
        <v>6.54</v>
      </c>
      <c r="B95" s="5" t="s">
        <v>154</v>
      </c>
      <c r="C95" s="5" t="s">
        <v>19</v>
      </c>
      <c r="D95" s="6" t="s">
        <v>391</v>
      </c>
      <c r="E95" s="6" t="s">
        <v>392</v>
      </c>
      <c r="F95" s="6" t="s">
        <v>33</v>
      </c>
      <c r="G95" s="5" t="s">
        <v>23</v>
      </c>
      <c r="H95" s="5"/>
      <c r="I95" s="5"/>
      <c r="J95" s="54">
        <v>150000</v>
      </c>
      <c r="K95" s="6" t="s">
        <v>393</v>
      </c>
      <c r="L95" s="6" t="s">
        <v>394</v>
      </c>
      <c r="M95" s="6" t="b">
        <v>0</v>
      </c>
      <c r="N95" s="6" t="s">
        <v>395</v>
      </c>
      <c r="O95" s="6" t="s">
        <v>396</v>
      </c>
      <c r="P95" s="6" t="s">
        <v>38</v>
      </c>
      <c r="Q95" s="6" t="s">
        <v>397</v>
      </c>
      <c r="R95" s="6" t="s">
        <v>162</v>
      </c>
      <c r="S95" s="5" t="s">
        <v>3323</v>
      </c>
      <c r="T95" s="10"/>
      <c r="U95" s="6"/>
    </row>
    <row r="96" spans="1:21" x14ac:dyDescent="0.2">
      <c r="A96" s="8">
        <v>6.54</v>
      </c>
      <c r="B96" s="5" t="s">
        <v>154</v>
      </c>
      <c r="C96" s="5" t="s">
        <v>19</v>
      </c>
      <c r="D96" s="6" t="s">
        <v>398</v>
      </c>
      <c r="E96" s="6" t="s">
        <v>399</v>
      </c>
      <c r="F96" s="6" t="s">
        <v>33</v>
      </c>
      <c r="G96" s="5" t="s">
        <v>23</v>
      </c>
      <c r="H96" s="5"/>
      <c r="I96" s="5"/>
      <c r="J96" s="54">
        <v>444500</v>
      </c>
      <c r="K96" s="6" t="s">
        <v>400</v>
      </c>
      <c r="L96" s="6" t="s">
        <v>401</v>
      </c>
      <c r="M96" s="6" t="b">
        <v>0</v>
      </c>
      <c r="N96" s="6" t="s">
        <v>402</v>
      </c>
      <c r="O96" s="6" t="s">
        <v>403</v>
      </c>
      <c r="P96" s="6"/>
      <c r="Q96" s="6" t="s">
        <v>404</v>
      </c>
      <c r="R96" s="6" t="s">
        <v>162</v>
      </c>
      <c r="S96" s="5" t="s">
        <v>3323</v>
      </c>
      <c r="T96" s="10"/>
      <c r="U96" s="6"/>
    </row>
    <row r="97" spans="1:21" x14ac:dyDescent="0.2">
      <c r="A97" s="8">
        <v>6.52</v>
      </c>
      <c r="B97" s="5" t="s">
        <v>154</v>
      </c>
      <c r="C97" s="5" t="s">
        <v>19</v>
      </c>
      <c r="D97" s="6" t="s">
        <v>413</v>
      </c>
      <c r="E97" s="6" t="s">
        <v>414</v>
      </c>
      <c r="F97" s="6" t="s">
        <v>120</v>
      </c>
      <c r="G97" s="5" t="s">
        <v>23</v>
      </c>
      <c r="H97" s="5"/>
      <c r="I97" s="5"/>
      <c r="J97" s="54">
        <v>10000</v>
      </c>
      <c r="K97" s="6" t="s">
        <v>415</v>
      </c>
      <c r="L97" s="6" t="s">
        <v>416</v>
      </c>
      <c r="M97" s="6" t="b">
        <v>0</v>
      </c>
      <c r="N97" s="6" t="s">
        <v>417</v>
      </c>
      <c r="O97" s="6" t="s">
        <v>418</v>
      </c>
      <c r="P97" s="6"/>
      <c r="Q97" s="6" t="s">
        <v>419</v>
      </c>
      <c r="R97" s="6" t="s">
        <v>162</v>
      </c>
      <c r="S97" s="5" t="s">
        <v>3323</v>
      </c>
      <c r="T97" s="10"/>
      <c r="U97" s="6"/>
    </row>
    <row r="98" spans="1:21" x14ac:dyDescent="0.2">
      <c r="A98" s="8">
        <v>6.49</v>
      </c>
      <c r="B98" s="5" t="s">
        <v>154</v>
      </c>
      <c r="C98" s="5" t="s">
        <v>19</v>
      </c>
      <c r="D98" s="6" t="s">
        <v>425</v>
      </c>
      <c r="E98" s="6" t="s">
        <v>426</v>
      </c>
      <c r="F98" s="6" t="s">
        <v>427</v>
      </c>
      <c r="G98" s="5" t="s">
        <v>23</v>
      </c>
      <c r="H98" s="5"/>
      <c r="I98" s="5"/>
      <c r="J98" s="54">
        <v>0</v>
      </c>
      <c r="K98" s="6" t="s">
        <v>428</v>
      </c>
      <c r="L98" s="6" t="s">
        <v>429</v>
      </c>
      <c r="M98" s="6" t="b">
        <v>0</v>
      </c>
      <c r="N98" s="6" t="s">
        <v>430</v>
      </c>
      <c r="O98" s="6" t="s">
        <v>431</v>
      </c>
      <c r="P98" s="6" t="s">
        <v>28</v>
      </c>
      <c r="Q98" s="6" t="s">
        <v>432</v>
      </c>
      <c r="R98" s="6" t="s">
        <v>162</v>
      </c>
      <c r="S98" s="5" t="s">
        <v>3323</v>
      </c>
      <c r="T98" s="10"/>
      <c r="U98" s="6"/>
    </row>
    <row r="99" spans="1:21" x14ac:dyDescent="0.2">
      <c r="A99" s="8">
        <v>6.48</v>
      </c>
      <c r="B99" s="5" t="s">
        <v>154</v>
      </c>
      <c r="C99" s="5" t="s">
        <v>19</v>
      </c>
      <c r="D99" s="6" t="s">
        <v>441</v>
      </c>
      <c r="E99" s="6" t="s">
        <v>57</v>
      </c>
      <c r="F99" s="6" t="s">
        <v>33</v>
      </c>
      <c r="G99" s="5" t="s">
        <v>23</v>
      </c>
      <c r="H99" s="5"/>
      <c r="I99" s="5"/>
      <c r="J99" s="54">
        <v>0</v>
      </c>
      <c r="K99" s="6" t="s">
        <v>58</v>
      </c>
      <c r="L99" s="6" t="s">
        <v>59</v>
      </c>
      <c r="M99" s="6" t="b">
        <v>0</v>
      </c>
      <c r="N99" s="6" t="s">
        <v>442</v>
      </c>
      <c r="O99" s="6" t="s">
        <v>443</v>
      </c>
      <c r="P99" s="6" t="s">
        <v>38</v>
      </c>
      <c r="Q99" s="6" t="s">
        <v>62</v>
      </c>
      <c r="R99" s="6" t="s">
        <v>162</v>
      </c>
      <c r="S99" s="5" t="s">
        <v>3323</v>
      </c>
      <c r="T99" s="10"/>
      <c r="U99" s="6"/>
    </row>
    <row r="100" spans="1:21" x14ac:dyDescent="0.2">
      <c r="A100" s="8">
        <v>6.45</v>
      </c>
      <c r="B100" s="5" t="s">
        <v>154</v>
      </c>
      <c r="C100" s="5" t="s">
        <v>19</v>
      </c>
      <c r="D100" s="6" t="s">
        <v>444</v>
      </c>
      <c r="E100" s="6" t="s">
        <v>445</v>
      </c>
      <c r="F100" s="6" t="s">
        <v>33</v>
      </c>
      <c r="G100" s="5" t="s">
        <v>23</v>
      </c>
      <c r="H100" s="5"/>
      <c r="I100" s="5"/>
      <c r="J100" s="54">
        <v>500000</v>
      </c>
      <c r="K100" s="6" t="s">
        <v>446</v>
      </c>
      <c r="L100" s="6" t="s">
        <v>447</v>
      </c>
      <c r="M100" s="6" t="b">
        <v>0</v>
      </c>
      <c r="N100" s="6" t="s">
        <v>448</v>
      </c>
      <c r="O100" s="6" t="s">
        <v>449</v>
      </c>
      <c r="P100" s="6" t="s">
        <v>28</v>
      </c>
      <c r="Q100" s="6" t="s">
        <v>450</v>
      </c>
      <c r="R100" s="6" t="s">
        <v>162</v>
      </c>
      <c r="S100" s="5" t="s">
        <v>3323</v>
      </c>
      <c r="T100" s="10"/>
      <c r="U100" s="6"/>
    </row>
    <row r="101" spans="1:21" hidden="1" x14ac:dyDescent="0.2">
      <c r="A101">
        <v>6.15</v>
      </c>
      <c r="B101" t="s">
        <v>514</v>
      </c>
      <c r="C101" t="s">
        <v>19</v>
      </c>
      <c r="D101" t="s">
        <v>677</v>
      </c>
      <c r="E101" t="s">
        <v>678</v>
      </c>
      <c r="F101" t="s">
        <v>33</v>
      </c>
      <c r="G101" t="s">
        <v>23</v>
      </c>
      <c r="J101">
        <v>218000</v>
      </c>
      <c r="K101" t="s">
        <v>679</v>
      </c>
      <c r="L101" t="s">
        <v>525</v>
      </c>
      <c r="M101" t="b">
        <v>1</v>
      </c>
      <c r="N101" t="s">
        <v>680</v>
      </c>
      <c r="O101" t="s">
        <v>681</v>
      </c>
      <c r="P101" t="s">
        <v>682</v>
      </c>
      <c r="Q101" t="s">
        <v>683</v>
      </c>
      <c r="R101" t="s">
        <v>162</v>
      </c>
      <c r="S101" t="s">
        <v>3323</v>
      </c>
      <c r="T101" s="2"/>
    </row>
    <row r="102" spans="1:21" hidden="1" x14ac:dyDescent="0.2">
      <c r="A102">
        <v>6.15</v>
      </c>
      <c r="B102" t="s">
        <v>514</v>
      </c>
      <c r="C102" t="s">
        <v>19</v>
      </c>
      <c r="D102" t="s">
        <v>684</v>
      </c>
      <c r="E102" t="s">
        <v>685</v>
      </c>
      <c r="F102" t="s">
        <v>427</v>
      </c>
      <c r="G102" t="s">
        <v>23</v>
      </c>
      <c r="H102" s="1">
        <v>46255</v>
      </c>
      <c r="I102">
        <v>7</v>
      </c>
      <c r="J102">
        <v>0</v>
      </c>
      <c r="K102" t="s">
        <v>686</v>
      </c>
      <c r="L102" t="s">
        <v>687</v>
      </c>
      <c r="M102" t="b">
        <v>0</v>
      </c>
      <c r="N102" t="s">
        <v>688</v>
      </c>
      <c r="O102" t="s">
        <v>689</v>
      </c>
      <c r="P102" t="s">
        <v>690</v>
      </c>
      <c r="Q102" t="s">
        <v>691</v>
      </c>
      <c r="R102" t="s">
        <v>48</v>
      </c>
      <c r="S102" t="s">
        <v>3323</v>
      </c>
      <c r="T102" s="2"/>
    </row>
    <row r="103" spans="1:21" x14ac:dyDescent="0.2">
      <c r="A103" s="8">
        <v>6.45</v>
      </c>
      <c r="B103" s="5" t="s">
        <v>154</v>
      </c>
      <c r="C103" s="5" t="s">
        <v>19</v>
      </c>
      <c r="D103" s="6" t="s">
        <v>451</v>
      </c>
      <c r="E103" s="6" t="s">
        <v>452</v>
      </c>
      <c r="F103" s="6" t="s">
        <v>427</v>
      </c>
      <c r="G103" s="5" t="s">
        <v>23</v>
      </c>
      <c r="H103" s="5"/>
      <c r="I103" s="5"/>
      <c r="J103" s="54">
        <v>100000</v>
      </c>
      <c r="K103" s="6" t="s">
        <v>453</v>
      </c>
      <c r="L103" s="6" t="s">
        <v>454</v>
      </c>
      <c r="M103" s="6" t="b">
        <v>0</v>
      </c>
      <c r="N103" s="6" t="s">
        <v>455</v>
      </c>
      <c r="O103" s="6" t="s">
        <v>456</v>
      </c>
      <c r="P103" s="6" t="s">
        <v>38</v>
      </c>
      <c r="Q103" s="6" t="s">
        <v>457</v>
      </c>
      <c r="R103" s="6" t="s">
        <v>162</v>
      </c>
      <c r="S103" s="5" t="s">
        <v>3323</v>
      </c>
      <c r="T103" s="10"/>
      <c r="U103" s="6"/>
    </row>
    <row r="104" spans="1:21" x14ac:dyDescent="0.2">
      <c r="A104" s="8">
        <v>6.45</v>
      </c>
      <c r="B104" s="5" t="s">
        <v>154</v>
      </c>
      <c r="C104" s="5" t="s">
        <v>19</v>
      </c>
      <c r="D104" s="6" t="s">
        <v>458</v>
      </c>
      <c r="E104" s="6" t="s">
        <v>459</v>
      </c>
      <c r="F104" s="6" t="s">
        <v>73</v>
      </c>
      <c r="G104" s="5" t="s">
        <v>23</v>
      </c>
      <c r="H104" s="5"/>
      <c r="I104" s="5"/>
      <c r="J104" s="54">
        <v>100000</v>
      </c>
      <c r="K104" s="6" t="s">
        <v>460</v>
      </c>
      <c r="L104" s="6" t="s">
        <v>461</v>
      </c>
      <c r="M104" s="6" t="b">
        <v>0</v>
      </c>
      <c r="N104" s="6" t="s">
        <v>462</v>
      </c>
      <c r="O104" s="6" t="s">
        <v>463</v>
      </c>
      <c r="P104" s="6"/>
      <c r="Q104" s="6" t="s">
        <v>464</v>
      </c>
      <c r="R104" s="6" t="s">
        <v>162</v>
      </c>
      <c r="S104" s="5" t="s">
        <v>3323</v>
      </c>
      <c r="T104" s="10"/>
      <c r="U104" s="6"/>
    </row>
    <row r="105" spans="1:21" x14ac:dyDescent="0.2">
      <c r="A105" s="8">
        <v>6.44</v>
      </c>
      <c r="B105" s="5" t="s">
        <v>154</v>
      </c>
      <c r="C105" s="5" t="s">
        <v>101</v>
      </c>
      <c r="D105" s="6" t="s">
        <v>471</v>
      </c>
      <c r="E105" s="6" t="s">
        <v>472</v>
      </c>
      <c r="F105" s="6" t="s">
        <v>33</v>
      </c>
      <c r="G105" s="5" t="s">
        <v>104</v>
      </c>
      <c r="H105" s="5"/>
      <c r="I105" s="5"/>
      <c r="J105" s="54">
        <v>150000</v>
      </c>
      <c r="K105" s="6" t="s">
        <v>473</v>
      </c>
      <c r="L105" s="6" t="s">
        <v>59</v>
      </c>
      <c r="M105" s="6" t="b">
        <v>0</v>
      </c>
      <c r="N105" s="6" t="s">
        <v>474</v>
      </c>
      <c r="O105" s="6" t="s">
        <v>475</v>
      </c>
      <c r="P105" s="6" t="s">
        <v>38</v>
      </c>
      <c r="Q105" s="6" t="s">
        <v>476</v>
      </c>
      <c r="R105" s="6" t="s">
        <v>110</v>
      </c>
      <c r="S105" s="5" t="s">
        <v>3323</v>
      </c>
      <c r="T105" s="10"/>
      <c r="U105" s="6"/>
    </row>
    <row r="106" spans="1:21" x14ac:dyDescent="0.2">
      <c r="A106" s="8">
        <v>6.43</v>
      </c>
      <c r="B106" s="5" t="s">
        <v>154</v>
      </c>
      <c r="C106" s="5" t="s">
        <v>19</v>
      </c>
      <c r="D106" s="6" t="s">
        <v>477</v>
      </c>
      <c r="E106" s="6" t="s">
        <v>478</v>
      </c>
      <c r="F106" s="6" t="s">
        <v>73</v>
      </c>
      <c r="G106" s="5" t="s">
        <v>23</v>
      </c>
      <c r="H106" s="5"/>
      <c r="I106" s="5"/>
      <c r="J106" s="54">
        <v>545000</v>
      </c>
      <c r="K106" s="6" t="s">
        <v>479</v>
      </c>
      <c r="L106" s="6" t="s">
        <v>480</v>
      </c>
      <c r="M106" s="6" t="b">
        <v>0</v>
      </c>
      <c r="N106" s="6" t="s">
        <v>481</v>
      </c>
      <c r="O106" s="6" t="s">
        <v>482</v>
      </c>
      <c r="P106" s="6" t="s">
        <v>38</v>
      </c>
      <c r="Q106" s="6" t="s">
        <v>176</v>
      </c>
      <c r="R106" s="6" t="s">
        <v>162</v>
      </c>
      <c r="S106" s="5" t="s">
        <v>3323</v>
      </c>
      <c r="T106" s="10"/>
      <c r="U106" s="6"/>
    </row>
    <row r="107" spans="1:21" x14ac:dyDescent="0.2">
      <c r="A107" s="8">
        <v>6.43</v>
      </c>
      <c r="B107" s="5" t="s">
        <v>154</v>
      </c>
      <c r="C107" s="5" t="s">
        <v>19</v>
      </c>
      <c r="D107" s="6" t="s">
        <v>483</v>
      </c>
      <c r="E107" s="6" t="s">
        <v>484</v>
      </c>
      <c r="F107" s="6" t="s">
        <v>120</v>
      </c>
      <c r="G107" s="5" t="s">
        <v>23</v>
      </c>
      <c r="H107" s="5"/>
      <c r="I107" s="5"/>
      <c r="J107" s="54">
        <v>10000</v>
      </c>
      <c r="K107" s="6" t="s">
        <v>485</v>
      </c>
      <c r="L107" s="6" t="s">
        <v>486</v>
      </c>
      <c r="M107" s="6" t="b">
        <v>0</v>
      </c>
      <c r="N107" s="6" t="s">
        <v>487</v>
      </c>
      <c r="O107" s="6" t="s">
        <v>488</v>
      </c>
      <c r="P107" s="6" t="s">
        <v>38</v>
      </c>
      <c r="Q107" s="6" t="s">
        <v>489</v>
      </c>
      <c r="R107" s="6" t="s">
        <v>162</v>
      </c>
      <c r="S107" s="5" t="s">
        <v>3323</v>
      </c>
      <c r="T107" s="10"/>
      <c r="U107" s="6"/>
    </row>
    <row r="108" spans="1:21" x14ac:dyDescent="0.2">
      <c r="A108" s="8">
        <v>6.41</v>
      </c>
      <c r="B108" s="5" t="s">
        <v>154</v>
      </c>
      <c r="C108" s="5" t="s">
        <v>101</v>
      </c>
      <c r="D108" s="6" t="s">
        <v>490</v>
      </c>
      <c r="E108" s="6" t="s">
        <v>491</v>
      </c>
      <c r="F108" s="6" t="s">
        <v>22</v>
      </c>
      <c r="G108" s="5" t="s">
        <v>104</v>
      </c>
      <c r="H108" s="5"/>
      <c r="I108" s="5"/>
      <c r="J108" s="54">
        <v>1000000</v>
      </c>
      <c r="K108" s="6" t="s">
        <v>492</v>
      </c>
      <c r="L108" s="6" t="s">
        <v>493</v>
      </c>
      <c r="M108" s="6" t="b">
        <v>1</v>
      </c>
      <c r="N108" s="6" t="s">
        <v>494</v>
      </c>
      <c r="O108" s="6" t="s">
        <v>495</v>
      </c>
      <c r="P108" s="6" t="s">
        <v>38</v>
      </c>
      <c r="Q108" s="6" t="s">
        <v>496</v>
      </c>
      <c r="R108" s="6" t="s">
        <v>110</v>
      </c>
      <c r="S108" s="5" t="s">
        <v>3323</v>
      </c>
      <c r="T108" s="10"/>
      <c r="U108" s="6"/>
    </row>
    <row r="109" spans="1:21" hidden="1" x14ac:dyDescent="0.2">
      <c r="A109">
        <v>6.12</v>
      </c>
      <c r="B109" t="s">
        <v>514</v>
      </c>
      <c r="C109" t="s">
        <v>19</v>
      </c>
      <c r="D109" t="s">
        <v>729</v>
      </c>
      <c r="E109" t="s">
        <v>730</v>
      </c>
      <c r="F109" t="s">
        <v>290</v>
      </c>
      <c r="G109" t="s">
        <v>23</v>
      </c>
      <c r="J109">
        <v>0</v>
      </c>
      <c r="K109" t="s">
        <v>731</v>
      </c>
      <c r="L109" t="s">
        <v>732</v>
      </c>
      <c r="M109" t="b">
        <v>1</v>
      </c>
      <c r="N109" t="s">
        <v>733</v>
      </c>
      <c r="O109" t="s">
        <v>734</v>
      </c>
      <c r="P109" t="s">
        <v>38</v>
      </c>
      <c r="Q109" t="s">
        <v>735</v>
      </c>
      <c r="R109" t="s">
        <v>162</v>
      </c>
      <c r="S109" t="s">
        <v>3323</v>
      </c>
      <c r="T109" s="2"/>
    </row>
    <row r="110" spans="1:21" x14ac:dyDescent="0.2">
      <c r="A110" s="8">
        <v>6.39</v>
      </c>
      <c r="B110" s="5" t="s">
        <v>154</v>
      </c>
      <c r="C110" s="5" t="s">
        <v>19</v>
      </c>
      <c r="D110" s="6" t="s">
        <v>509</v>
      </c>
      <c r="E110" s="6" t="s">
        <v>510</v>
      </c>
      <c r="F110" s="6" t="s">
        <v>33</v>
      </c>
      <c r="G110" s="5" t="s">
        <v>23</v>
      </c>
      <c r="H110" s="5"/>
      <c r="I110" s="5"/>
      <c r="J110" s="54">
        <v>125000</v>
      </c>
      <c r="K110" s="6" t="s">
        <v>59</v>
      </c>
      <c r="L110" s="6" t="s">
        <v>59</v>
      </c>
      <c r="M110" s="6" t="b">
        <v>0</v>
      </c>
      <c r="N110" s="6" t="s">
        <v>511</v>
      </c>
      <c r="O110" s="6" t="s">
        <v>512</v>
      </c>
      <c r="P110" s="6" t="s">
        <v>38</v>
      </c>
      <c r="Q110" s="6" t="s">
        <v>513</v>
      </c>
      <c r="R110" s="6" t="s">
        <v>162</v>
      </c>
      <c r="S110" s="5" t="s">
        <v>3323</v>
      </c>
      <c r="T110" s="10"/>
      <c r="U110" s="6"/>
    </row>
    <row r="111" spans="1:21" x14ac:dyDescent="0.2">
      <c r="A111" s="8">
        <v>6.37</v>
      </c>
      <c r="B111" s="5" t="s">
        <v>154</v>
      </c>
      <c r="C111" s="5" t="s">
        <v>101</v>
      </c>
      <c r="D111" s="6" t="s">
        <v>522</v>
      </c>
      <c r="E111" s="6" t="s">
        <v>523</v>
      </c>
      <c r="F111" s="6" t="s">
        <v>42</v>
      </c>
      <c r="G111" s="5" t="s">
        <v>104</v>
      </c>
      <c r="H111" s="5"/>
      <c r="I111" s="5"/>
      <c r="J111" s="54">
        <v>55000</v>
      </c>
      <c r="K111" s="6" t="s">
        <v>524</v>
      </c>
      <c r="L111" s="6" t="s">
        <v>525</v>
      </c>
      <c r="M111" s="6" t="b">
        <v>0</v>
      </c>
      <c r="N111" s="6" t="s">
        <v>526</v>
      </c>
      <c r="O111" s="6" t="s">
        <v>527</v>
      </c>
      <c r="P111" s="6" t="s">
        <v>28</v>
      </c>
      <c r="Q111" s="6" t="s">
        <v>528</v>
      </c>
      <c r="R111" s="6" t="s">
        <v>110</v>
      </c>
      <c r="S111" s="5" t="s">
        <v>3323</v>
      </c>
      <c r="T111" s="10"/>
      <c r="U111" s="6"/>
    </row>
    <row r="112" spans="1:21" x14ac:dyDescent="0.2">
      <c r="A112" s="8">
        <v>6.36</v>
      </c>
      <c r="B112" s="5" t="s">
        <v>154</v>
      </c>
      <c r="C112" s="5" t="s">
        <v>101</v>
      </c>
      <c r="D112" s="6" t="s">
        <v>529</v>
      </c>
      <c r="E112" s="6" t="s">
        <v>530</v>
      </c>
      <c r="F112" s="6" t="s">
        <v>33</v>
      </c>
      <c r="G112" s="5" t="s">
        <v>104</v>
      </c>
      <c r="H112" s="5"/>
      <c r="I112" s="5"/>
      <c r="J112" s="54">
        <v>500000</v>
      </c>
      <c r="K112" s="6" t="s">
        <v>531</v>
      </c>
      <c r="L112" s="6" t="s">
        <v>532</v>
      </c>
      <c r="M112" s="6" t="b">
        <v>0</v>
      </c>
      <c r="N112" s="6" t="s">
        <v>210</v>
      </c>
      <c r="O112" s="6" t="s">
        <v>533</v>
      </c>
      <c r="P112" s="6" t="s">
        <v>92</v>
      </c>
      <c r="Q112" s="6" t="s">
        <v>534</v>
      </c>
      <c r="R112" s="6" t="s">
        <v>110</v>
      </c>
      <c r="S112" s="5" t="s">
        <v>3323</v>
      </c>
      <c r="T112" s="10"/>
      <c r="U112" s="6"/>
    </row>
    <row r="113" spans="1:21" x14ac:dyDescent="0.2">
      <c r="A113" s="8">
        <v>6.35</v>
      </c>
      <c r="B113" s="5" t="s">
        <v>154</v>
      </c>
      <c r="C113" s="5" t="s">
        <v>19</v>
      </c>
      <c r="D113" s="6" t="s">
        <v>535</v>
      </c>
      <c r="E113" s="6" t="s">
        <v>536</v>
      </c>
      <c r="F113" s="6" t="s">
        <v>33</v>
      </c>
      <c r="G113" s="5" t="s">
        <v>23</v>
      </c>
      <c r="H113" s="5"/>
      <c r="I113" s="5"/>
      <c r="J113" s="54">
        <v>500000</v>
      </c>
      <c r="K113" s="6" t="s">
        <v>537</v>
      </c>
      <c r="L113" s="6" t="s">
        <v>59</v>
      </c>
      <c r="M113" s="6" t="b">
        <v>0</v>
      </c>
      <c r="N113" s="6" t="s">
        <v>538</v>
      </c>
      <c r="O113" s="6" t="s">
        <v>539</v>
      </c>
      <c r="P113" s="6" t="s">
        <v>38</v>
      </c>
      <c r="Q113" s="6" t="s">
        <v>540</v>
      </c>
      <c r="R113" s="6" t="s">
        <v>162</v>
      </c>
      <c r="S113" s="5" t="s">
        <v>3323</v>
      </c>
      <c r="T113" s="10"/>
      <c r="U113" s="6"/>
    </row>
    <row r="114" spans="1:21" x14ac:dyDescent="0.2">
      <c r="A114" s="8">
        <v>6.35</v>
      </c>
      <c r="B114" s="5" t="s">
        <v>154</v>
      </c>
      <c r="C114" s="5" t="s">
        <v>19</v>
      </c>
      <c r="D114" s="6" t="s">
        <v>541</v>
      </c>
      <c r="E114" s="6" t="s">
        <v>542</v>
      </c>
      <c r="F114" s="6" t="s">
        <v>33</v>
      </c>
      <c r="G114" s="5" t="s">
        <v>23</v>
      </c>
      <c r="H114" s="5"/>
      <c r="I114" s="5"/>
      <c r="J114" s="54">
        <v>100000</v>
      </c>
      <c r="K114" s="6" t="s">
        <v>543</v>
      </c>
      <c r="L114" s="6" t="s">
        <v>59</v>
      </c>
      <c r="M114" s="6" t="b">
        <v>0</v>
      </c>
      <c r="N114" s="6" t="s">
        <v>210</v>
      </c>
      <c r="O114" s="6" t="s">
        <v>544</v>
      </c>
      <c r="P114" s="6" t="s">
        <v>92</v>
      </c>
      <c r="Q114" s="6" t="s">
        <v>545</v>
      </c>
      <c r="R114" s="6" t="s">
        <v>162</v>
      </c>
      <c r="S114" s="5" t="s">
        <v>3323</v>
      </c>
      <c r="T114" s="10"/>
      <c r="U114" s="6"/>
    </row>
    <row r="115" spans="1:21" x14ac:dyDescent="0.2">
      <c r="A115" s="8">
        <v>6.35</v>
      </c>
      <c r="B115" s="5" t="s">
        <v>154</v>
      </c>
      <c r="C115" s="5" t="s">
        <v>19</v>
      </c>
      <c r="D115" s="6" t="s">
        <v>546</v>
      </c>
      <c r="E115" s="6" t="s">
        <v>547</v>
      </c>
      <c r="F115" s="6" t="s">
        <v>33</v>
      </c>
      <c r="G115" s="5" t="s">
        <v>23</v>
      </c>
      <c r="H115" s="5"/>
      <c r="I115" s="5"/>
      <c r="J115" s="54">
        <v>125000</v>
      </c>
      <c r="K115" s="6" t="s">
        <v>548</v>
      </c>
      <c r="L115" s="6" t="s">
        <v>549</v>
      </c>
      <c r="M115" s="6" t="b">
        <v>0</v>
      </c>
      <c r="N115" s="6" t="s">
        <v>59</v>
      </c>
      <c r="O115" s="6" t="s">
        <v>550</v>
      </c>
      <c r="P115" s="6"/>
      <c r="Q115" s="6" t="s">
        <v>551</v>
      </c>
      <c r="R115" s="6" t="s">
        <v>162</v>
      </c>
      <c r="S115" s="5" t="s">
        <v>3323</v>
      </c>
      <c r="T115" s="10"/>
      <c r="U115" s="6"/>
    </row>
    <row r="116" spans="1:21" x14ac:dyDescent="0.2">
      <c r="A116" s="8">
        <v>6.32</v>
      </c>
      <c r="B116" s="5" t="s">
        <v>154</v>
      </c>
      <c r="C116" s="5" t="s">
        <v>19</v>
      </c>
      <c r="D116" s="6" t="s">
        <v>560</v>
      </c>
      <c r="E116" s="6" t="s">
        <v>561</v>
      </c>
      <c r="F116" s="6" t="s">
        <v>22</v>
      </c>
      <c r="G116" s="5" t="s">
        <v>23</v>
      </c>
      <c r="H116" s="5"/>
      <c r="I116" s="5"/>
      <c r="J116" s="54">
        <v>0</v>
      </c>
      <c r="K116" s="6" t="s">
        <v>562</v>
      </c>
      <c r="L116" s="6" t="s">
        <v>25</v>
      </c>
      <c r="M116" s="6" t="b">
        <v>0</v>
      </c>
      <c r="N116" s="6" t="s">
        <v>563</v>
      </c>
      <c r="O116" s="6" t="s">
        <v>564</v>
      </c>
      <c r="P116" s="6" t="s">
        <v>28</v>
      </c>
      <c r="Q116" s="6" t="s">
        <v>565</v>
      </c>
      <c r="R116" s="6" t="s">
        <v>162</v>
      </c>
      <c r="S116" s="5" t="s">
        <v>3323</v>
      </c>
      <c r="T116" s="10"/>
      <c r="U116" s="6"/>
    </row>
    <row r="117" spans="1:21" x14ac:dyDescent="0.2">
      <c r="A117" s="8">
        <v>6.32</v>
      </c>
      <c r="B117" s="5" t="s">
        <v>154</v>
      </c>
      <c r="C117" s="5" t="s">
        <v>19</v>
      </c>
      <c r="D117" s="6" t="s">
        <v>566</v>
      </c>
      <c r="E117" s="6" t="s">
        <v>567</v>
      </c>
      <c r="F117" s="6" t="s">
        <v>33</v>
      </c>
      <c r="G117" s="5" t="s">
        <v>23</v>
      </c>
      <c r="H117" s="5"/>
      <c r="I117" s="5"/>
      <c r="J117" s="54">
        <v>200000</v>
      </c>
      <c r="K117" s="6" t="s">
        <v>568</v>
      </c>
      <c r="L117" s="6" t="s">
        <v>569</v>
      </c>
      <c r="M117" s="6" t="b">
        <v>0</v>
      </c>
      <c r="N117" s="6" t="s">
        <v>570</v>
      </c>
      <c r="O117" s="6" t="s">
        <v>571</v>
      </c>
      <c r="P117" s="6" t="s">
        <v>38</v>
      </c>
      <c r="Q117" s="6" t="s">
        <v>572</v>
      </c>
      <c r="R117" s="6" t="s">
        <v>162</v>
      </c>
      <c r="S117" s="5" t="s">
        <v>3323</v>
      </c>
      <c r="T117" s="10"/>
      <c r="U117" s="6"/>
    </row>
    <row r="118" spans="1:21" x14ac:dyDescent="0.2">
      <c r="A118" s="8">
        <v>6.31</v>
      </c>
      <c r="B118" s="5" t="s">
        <v>154</v>
      </c>
      <c r="C118" s="5" t="s">
        <v>19</v>
      </c>
      <c r="D118" s="6" t="s">
        <v>573</v>
      </c>
      <c r="E118" s="6" t="s">
        <v>574</v>
      </c>
      <c r="F118" s="6" t="s">
        <v>73</v>
      </c>
      <c r="G118" s="5" t="s">
        <v>23</v>
      </c>
      <c r="H118" s="5"/>
      <c r="I118" s="5"/>
      <c r="J118" s="54">
        <v>500000</v>
      </c>
      <c r="K118" s="6" t="s">
        <v>575</v>
      </c>
      <c r="L118" s="6" t="s">
        <v>576</v>
      </c>
      <c r="M118" s="6" t="b">
        <v>0</v>
      </c>
      <c r="N118" s="6" t="s">
        <v>577</v>
      </c>
      <c r="O118" s="6" t="s">
        <v>578</v>
      </c>
      <c r="P118" s="6" t="s">
        <v>38</v>
      </c>
      <c r="Q118" s="6" t="s">
        <v>176</v>
      </c>
      <c r="R118" s="6" t="s">
        <v>162</v>
      </c>
      <c r="S118" s="5" t="s">
        <v>3323</v>
      </c>
      <c r="T118" s="10"/>
      <c r="U118" s="6"/>
    </row>
    <row r="119" spans="1:21" hidden="1" x14ac:dyDescent="0.2">
      <c r="A119">
        <v>6.04</v>
      </c>
      <c r="B119" t="s">
        <v>514</v>
      </c>
      <c r="C119" t="s">
        <v>19</v>
      </c>
      <c r="D119" t="s">
        <v>792</v>
      </c>
      <c r="E119" t="s">
        <v>793</v>
      </c>
      <c r="F119" t="s">
        <v>33</v>
      </c>
      <c r="G119" t="s">
        <v>23</v>
      </c>
      <c r="J119">
        <v>5000000</v>
      </c>
      <c r="K119" t="s">
        <v>794</v>
      </c>
      <c r="L119" t="s">
        <v>795</v>
      </c>
      <c r="M119" t="b">
        <v>1</v>
      </c>
      <c r="N119" t="s">
        <v>796</v>
      </c>
      <c r="O119" t="s">
        <v>797</v>
      </c>
      <c r="P119" t="s">
        <v>28</v>
      </c>
      <c r="Q119" t="s">
        <v>798</v>
      </c>
      <c r="R119" t="s">
        <v>162</v>
      </c>
      <c r="S119" t="s">
        <v>3323</v>
      </c>
      <c r="T119" s="2"/>
    </row>
    <row r="120" spans="1:21" x14ac:dyDescent="0.2">
      <c r="A120" s="8">
        <v>6.31</v>
      </c>
      <c r="B120" s="5" t="s">
        <v>154</v>
      </c>
      <c r="C120" s="5" t="s">
        <v>19</v>
      </c>
      <c r="D120" s="6" t="s">
        <v>579</v>
      </c>
      <c r="E120" s="6" t="s">
        <v>580</v>
      </c>
      <c r="F120" s="6" t="s">
        <v>120</v>
      </c>
      <c r="G120" s="5" t="s">
        <v>23</v>
      </c>
      <c r="H120" s="5"/>
      <c r="I120" s="5"/>
      <c r="J120" s="54">
        <v>0</v>
      </c>
      <c r="K120" s="6" t="s">
        <v>581</v>
      </c>
      <c r="L120" s="6" t="s">
        <v>582</v>
      </c>
      <c r="M120" s="6" t="b">
        <v>0</v>
      </c>
      <c r="N120" s="6" t="s">
        <v>583</v>
      </c>
      <c r="O120" s="6" t="s">
        <v>584</v>
      </c>
      <c r="P120" s="6" t="s">
        <v>38</v>
      </c>
      <c r="Q120" s="6" t="s">
        <v>585</v>
      </c>
      <c r="R120" s="6" t="s">
        <v>162</v>
      </c>
      <c r="S120" s="5" t="s">
        <v>3323</v>
      </c>
      <c r="T120" s="10"/>
      <c r="U120" s="6"/>
    </row>
    <row r="121" spans="1:21" x14ac:dyDescent="0.2">
      <c r="A121" s="8">
        <v>6.25</v>
      </c>
      <c r="B121" s="5" t="s">
        <v>154</v>
      </c>
      <c r="C121" s="5" t="s">
        <v>19</v>
      </c>
      <c r="D121" s="6" t="s">
        <v>592</v>
      </c>
      <c r="E121" s="6" t="s">
        <v>593</v>
      </c>
      <c r="F121" s="6" t="s">
        <v>33</v>
      </c>
      <c r="G121" s="5" t="s">
        <v>23</v>
      </c>
      <c r="H121" s="5"/>
      <c r="I121" s="5"/>
      <c r="J121" s="54">
        <v>175000</v>
      </c>
      <c r="K121" s="6" t="s">
        <v>594</v>
      </c>
      <c r="L121" s="6" t="s">
        <v>595</v>
      </c>
      <c r="M121" s="6" t="b">
        <v>0</v>
      </c>
      <c r="N121" s="6" t="s">
        <v>210</v>
      </c>
      <c r="O121" s="6" t="s">
        <v>596</v>
      </c>
      <c r="P121" s="6" t="s">
        <v>92</v>
      </c>
      <c r="Q121" s="6" t="s">
        <v>597</v>
      </c>
      <c r="R121" s="6" t="s">
        <v>162</v>
      </c>
      <c r="S121" s="5" t="s">
        <v>3323</v>
      </c>
      <c r="T121" s="10"/>
      <c r="U121" s="6"/>
    </row>
    <row r="122" spans="1:21" x14ac:dyDescent="0.2">
      <c r="A122" s="8">
        <v>6.24</v>
      </c>
      <c r="B122" s="5" t="s">
        <v>154</v>
      </c>
      <c r="C122" s="5" t="s">
        <v>19</v>
      </c>
      <c r="D122" s="6" t="s">
        <v>598</v>
      </c>
      <c r="E122" s="6" t="s">
        <v>599</v>
      </c>
      <c r="F122" s="6" t="s">
        <v>73</v>
      </c>
      <c r="G122" s="5" t="s">
        <v>23</v>
      </c>
      <c r="H122" s="5"/>
      <c r="I122" s="5"/>
      <c r="J122" s="54">
        <v>0</v>
      </c>
      <c r="K122" s="6" t="s">
        <v>600</v>
      </c>
      <c r="L122" s="6" t="s">
        <v>601</v>
      </c>
      <c r="M122" s="6" t="b">
        <v>0</v>
      </c>
      <c r="N122" s="6" t="s">
        <v>602</v>
      </c>
      <c r="O122" s="6" t="s">
        <v>603</v>
      </c>
      <c r="P122" s="6" t="s">
        <v>38</v>
      </c>
      <c r="Q122" s="6" t="s">
        <v>604</v>
      </c>
      <c r="R122" s="6" t="s">
        <v>162</v>
      </c>
      <c r="S122" s="5" t="s">
        <v>3323</v>
      </c>
      <c r="T122" s="10"/>
      <c r="U122" s="6"/>
    </row>
    <row r="123" spans="1:21" x14ac:dyDescent="0.2">
      <c r="A123" s="8">
        <v>6.22</v>
      </c>
      <c r="B123" s="5" t="s">
        <v>154</v>
      </c>
      <c r="C123" s="5" t="s">
        <v>19</v>
      </c>
      <c r="D123" s="6" t="s">
        <v>605</v>
      </c>
      <c r="E123" s="6" t="s">
        <v>80</v>
      </c>
      <c r="F123" s="6" t="s">
        <v>120</v>
      </c>
      <c r="G123" s="5" t="s">
        <v>23</v>
      </c>
      <c r="H123" s="5"/>
      <c r="I123" s="5"/>
      <c r="J123" s="54">
        <v>10000</v>
      </c>
      <c r="K123" s="6" t="s">
        <v>606</v>
      </c>
      <c r="L123" s="6" t="s">
        <v>607</v>
      </c>
      <c r="M123" s="6" t="b">
        <v>0</v>
      </c>
      <c r="N123" s="6" t="s">
        <v>608</v>
      </c>
      <c r="O123" s="6" t="s">
        <v>609</v>
      </c>
      <c r="P123" s="6" t="s">
        <v>38</v>
      </c>
      <c r="Q123" s="6" t="s">
        <v>610</v>
      </c>
      <c r="R123" s="6" t="s">
        <v>162</v>
      </c>
      <c r="S123" s="5" t="s">
        <v>3323</v>
      </c>
      <c r="T123" s="10"/>
      <c r="U123" s="6"/>
    </row>
    <row r="124" spans="1:21" x14ac:dyDescent="0.2">
      <c r="A124" s="8">
        <v>6.21</v>
      </c>
      <c r="B124" s="5" t="s">
        <v>154</v>
      </c>
      <c r="C124" s="5" t="s">
        <v>19</v>
      </c>
      <c r="D124" s="6" t="s">
        <v>618</v>
      </c>
      <c r="E124" s="6" t="s">
        <v>619</v>
      </c>
      <c r="F124" s="6" t="s">
        <v>33</v>
      </c>
      <c r="G124" s="5" t="s">
        <v>23</v>
      </c>
      <c r="H124" s="5"/>
      <c r="I124" s="5"/>
      <c r="J124" s="54">
        <v>500000</v>
      </c>
      <c r="K124" s="6" t="s">
        <v>620</v>
      </c>
      <c r="L124" s="6" t="s">
        <v>621</v>
      </c>
      <c r="M124" s="6" t="b">
        <v>0</v>
      </c>
      <c r="N124" s="6" t="s">
        <v>622</v>
      </c>
      <c r="O124" s="6" t="s">
        <v>623</v>
      </c>
      <c r="P124" s="6" t="s">
        <v>38</v>
      </c>
      <c r="Q124" s="6" t="s">
        <v>624</v>
      </c>
      <c r="R124" s="6" t="s">
        <v>162</v>
      </c>
      <c r="S124" s="5" t="s">
        <v>3323</v>
      </c>
      <c r="T124" s="10"/>
      <c r="U124" s="6"/>
    </row>
    <row r="125" spans="1:21" x14ac:dyDescent="0.2">
      <c r="A125" s="8">
        <v>6.21</v>
      </c>
      <c r="B125" s="5" t="s">
        <v>154</v>
      </c>
      <c r="C125" s="5" t="s">
        <v>101</v>
      </c>
      <c r="D125" s="6" t="s">
        <v>625</v>
      </c>
      <c r="E125" s="6" t="s">
        <v>626</v>
      </c>
      <c r="F125" s="6" t="s">
        <v>33</v>
      </c>
      <c r="G125" s="5" t="s">
        <v>104</v>
      </c>
      <c r="H125" s="5"/>
      <c r="I125" s="5"/>
      <c r="J125" s="54">
        <v>1120000</v>
      </c>
      <c r="K125" s="6" t="s">
        <v>627</v>
      </c>
      <c r="L125" s="6" t="s">
        <v>59</v>
      </c>
      <c r="M125" s="6" t="b">
        <v>0</v>
      </c>
      <c r="N125" s="6" t="s">
        <v>28</v>
      </c>
      <c r="O125" s="6" t="s">
        <v>628</v>
      </c>
      <c r="P125" s="6" t="s">
        <v>28</v>
      </c>
      <c r="Q125" s="6" t="s">
        <v>629</v>
      </c>
      <c r="R125" s="6" t="s">
        <v>110</v>
      </c>
      <c r="S125" s="5" t="s">
        <v>3323</v>
      </c>
      <c r="T125" s="10"/>
      <c r="U125" s="6"/>
    </row>
    <row r="126" spans="1:21" x14ac:dyDescent="0.2">
      <c r="A126" s="8">
        <v>6.2</v>
      </c>
      <c r="B126" s="5" t="s">
        <v>154</v>
      </c>
      <c r="C126" s="5" t="s">
        <v>101</v>
      </c>
      <c r="D126" s="6" t="s">
        <v>630</v>
      </c>
      <c r="E126" s="6" t="s">
        <v>103</v>
      </c>
      <c r="F126" s="6" t="s">
        <v>22</v>
      </c>
      <c r="G126" s="5" t="s">
        <v>104</v>
      </c>
      <c r="H126" s="5"/>
      <c r="I126" s="5"/>
      <c r="J126" s="54">
        <v>5000000</v>
      </c>
      <c r="K126" s="6" t="s">
        <v>105</v>
      </c>
      <c r="L126" s="6" t="s">
        <v>631</v>
      </c>
      <c r="M126" s="6" t="b">
        <v>0</v>
      </c>
      <c r="N126" s="6" t="s">
        <v>632</v>
      </c>
      <c r="O126" s="6" t="s">
        <v>633</v>
      </c>
      <c r="P126" s="6" t="s">
        <v>38</v>
      </c>
      <c r="Q126" s="6" t="s">
        <v>634</v>
      </c>
      <c r="R126" s="6" t="s">
        <v>110</v>
      </c>
      <c r="S126" s="5" t="s">
        <v>3323</v>
      </c>
      <c r="T126" s="10"/>
      <c r="U126" s="6"/>
    </row>
    <row r="127" spans="1:21" x14ac:dyDescent="0.2">
      <c r="A127" s="8">
        <v>6.2</v>
      </c>
      <c r="B127" s="5" t="s">
        <v>154</v>
      </c>
      <c r="C127" s="5" t="s">
        <v>101</v>
      </c>
      <c r="D127" s="6" t="s">
        <v>635</v>
      </c>
      <c r="E127" s="6" t="s">
        <v>103</v>
      </c>
      <c r="F127" s="6" t="s">
        <v>22</v>
      </c>
      <c r="G127" s="5" t="s">
        <v>104</v>
      </c>
      <c r="H127" s="5"/>
      <c r="I127" s="5"/>
      <c r="J127" s="54">
        <v>5000000</v>
      </c>
      <c r="K127" s="6" t="s">
        <v>105</v>
      </c>
      <c r="L127" s="6" t="s">
        <v>59</v>
      </c>
      <c r="M127" s="6" t="b">
        <v>0</v>
      </c>
      <c r="N127" s="6" t="s">
        <v>636</v>
      </c>
      <c r="O127" s="6" t="s">
        <v>637</v>
      </c>
      <c r="P127" s="6" t="s">
        <v>38</v>
      </c>
      <c r="Q127" s="6" t="s">
        <v>638</v>
      </c>
      <c r="R127" s="6" t="s">
        <v>110</v>
      </c>
      <c r="S127" s="5" t="s">
        <v>3323</v>
      </c>
      <c r="T127" s="10"/>
      <c r="U127" s="6"/>
    </row>
    <row r="128" spans="1:21" x14ac:dyDescent="0.2">
      <c r="A128" s="8">
        <v>6.2</v>
      </c>
      <c r="B128" s="5" t="s">
        <v>154</v>
      </c>
      <c r="C128" s="5" t="s">
        <v>101</v>
      </c>
      <c r="D128" s="6" t="s">
        <v>639</v>
      </c>
      <c r="E128" s="6" t="s">
        <v>640</v>
      </c>
      <c r="F128" s="6" t="s">
        <v>22</v>
      </c>
      <c r="G128" s="5" t="s">
        <v>104</v>
      </c>
      <c r="H128" s="5"/>
      <c r="I128" s="5"/>
      <c r="J128" s="54">
        <v>1000000</v>
      </c>
      <c r="K128" s="6" t="s">
        <v>641</v>
      </c>
      <c r="L128" s="6" t="s">
        <v>59</v>
      </c>
      <c r="M128" s="6" t="b">
        <v>0</v>
      </c>
      <c r="N128" s="6" t="s">
        <v>642</v>
      </c>
      <c r="O128" s="6" t="s">
        <v>643</v>
      </c>
      <c r="P128" s="6" t="s">
        <v>28</v>
      </c>
      <c r="Q128" s="6" t="s">
        <v>496</v>
      </c>
      <c r="R128" s="6" t="s">
        <v>110</v>
      </c>
      <c r="S128" s="5" t="s">
        <v>3323</v>
      </c>
      <c r="T128" s="10"/>
      <c r="U128" s="6"/>
    </row>
    <row r="129" spans="1:21" x14ac:dyDescent="0.2">
      <c r="A129" s="8">
        <v>6.19</v>
      </c>
      <c r="B129" s="5" t="s">
        <v>154</v>
      </c>
      <c r="C129" s="5" t="s">
        <v>19</v>
      </c>
      <c r="D129" s="6" t="s">
        <v>650</v>
      </c>
      <c r="E129" s="6" t="s">
        <v>651</v>
      </c>
      <c r="F129" s="6" t="s">
        <v>33</v>
      </c>
      <c r="G129" s="5" t="s">
        <v>23</v>
      </c>
      <c r="H129" s="5"/>
      <c r="I129" s="5"/>
      <c r="J129" s="54">
        <v>0</v>
      </c>
      <c r="K129" s="6" t="s">
        <v>331</v>
      </c>
      <c r="L129" s="6" t="s">
        <v>549</v>
      </c>
      <c r="M129" s="6" t="b">
        <v>0</v>
      </c>
      <c r="N129" s="6" t="s">
        <v>652</v>
      </c>
      <c r="O129" s="6" t="s">
        <v>653</v>
      </c>
      <c r="P129" s="6" t="s">
        <v>38</v>
      </c>
      <c r="Q129" s="6" t="s">
        <v>654</v>
      </c>
      <c r="R129" s="6" t="s">
        <v>162</v>
      </c>
      <c r="S129" s="5" t="s">
        <v>3323</v>
      </c>
      <c r="T129" s="10"/>
      <c r="U129" s="6"/>
    </row>
    <row r="130" spans="1:21" x14ac:dyDescent="0.2">
      <c r="A130" s="8">
        <v>6.18</v>
      </c>
      <c r="B130" s="5" t="s">
        <v>154</v>
      </c>
      <c r="C130" s="5" t="s">
        <v>19</v>
      </c>
      <c r="D130" s="6" t="s">
        <v>655</v>
      </c>
      <c r="E130" s="6" t="s">
        <v>656</v>
      </c>
      <c r="F130" s="6" t="s">
        <v>22</v>
      </c>
      <c r="G130" s="5" t="s">
        <v>23</v>
      </c>
      <c r="H130" s="5"/>
      <c r="I130" s="5"/>
      <c r="J130" s="54">
        <v>0</v>
      </c>
      <c r="K130" s="6" t="s">
        <v>657</v>
      </c>
      <c r="L130" s="6" t="s">
        <v>658</v>
      </c>
      <c r="M130" s="6" t="b">
        <v>0</v>
      </c>
      <c r="N130" s="6" t="s">
        <v>659</v>
      </c>
      <c r="O130" s="6" t="s">
        <v>660</v>
      </c>
      <c r="P130" s="6" t="s">
        <v>661</v>
      </c>
      <c r="Q130" s="6" t="s">
        <v>662</v>
      </c>
      <c r="R130" s="6" t="s">
        <v>162</v>
      </c>
      <c r="S130" s="5" t="s">
        <v>3323</v>
      </c>
      <c r="T130" s="10"/>
      <c r="U130" s="6"/>
    </row>
    <row r="131" spans="1:21" x14ac:dyDescent="0.2">
      <c r="A131" s="8">
        <v>6.17</v>
      </c>
      <c r="B131" s="5" t="s">
        <v>154</v>
      </c>
      <c r="C131" s="5" t="s">
        <v>19</v>
      </c>
      <c r="D131" s="6" t="s">
        <v>668</v>
      </c>
      <c r="E131" s="6" t="s">
        <v>669</v>
      </c>
      <c r="F131" s="6" t="s">
        <v>42</v>
      </c>
      <c r="G131" s="5" t="s">
        <v>23</v>
      </c>
      <c r="H131" s="5"/>
      <c r="I131" s="5"/>
      <c r="J131" s="54">
        <v>250000</v>
      </c>
      <c r="K131" s="6" t="s">
        <v>670</v>
      </c>
      <c r="L131" s="6" t="s">
        <v>44</v>
      </c>
      <c r="M131" s="6" t="b">
        <v>0</v>
      </c>
      <c r="N131" s="6" t="s">
        <v>671</v>
      </c>
      <c r="O131" s="6" t="s">
        <v>672</v>
      </c>
      <c r="P131" s="6" t="s">
        <v>38</v>
      </c>
      <c r="Q131" s="6" t="s">
        <v>673</v>
      </c>
      <c r="R131" s="6" t="s">
        <v>162</v>
      </c>
      <c r="S131" s="5" t="s">
        <v>3323</v>
      </c>
      <c r="T131" s="10"/>
      <c r="U131" s="6"/>
    </row>
    <row r="132" spans="1:21" x14ac:dyDescent="0.2">
      <c r="A132" s="8">
        <v>6.17</v>
      </c>
      <c r="B132" s="5" t="s">
        <v>154</v>
      </c>
      <c r="C132" s="5" t="s">
        <v>101</v>
      </c>
      <c r="D132" s="6" t="s">
        <v>674</v>
      </c>
      <c r="E132" s="6" t="s">
        <v>103</v>
      </c>
      <c r="F132" s="6" t="s">
        <v>22</v>
      </c>
      <c r="G132" s="5" t="s">
        <v>104</v>
      </c>
      <c r="H132" s="5"/>
      <c r="I132" s="5"/>
      <c r="J132" s="54">
        <v>1000000</v>
      </c>
      <c r="K132" s="6" t="s">
        <v>105</v>
      </c>
      <c r="L132" s="6" t="s">
        <v>59</v>
      </c>
      <c r="M132" s="6" t="b">
        <v>0</v>
      </c>
      <c r="N132" s="6" t="s">
        <v>675</v>
      </c>
      <c r="O132" s="6" t="s">
        <v>274</v>
      </c>
      <c r="P132" s="6" t="s">
        <v>38</v>
      </c>
      <c r="Q132" s="6" t="s">
        <v>676</v>
      </c>
      <c r="R132" s="6" t="s">
        <v>110</v>
      </c>
      <c r="S132" s="5" t="s">
        <v>3323</v>
      </c>
      <c r="T132" s="10"/>
      <c r="U132" s="6"/>
    </row>
    <row r="133" spans="1:21" x14ac:dyDescent="0.2">
      <c r="A133" s="8">
        <v>6.15</v>
      </c>
      <c r="B133" s="5" t="s">
        <v>154</v>
      </c>
      <c r="C133" s="5" t="s">
        <v>101</v>
      </c>
      <c r="D133" s="6" t="s">
        <v>692</v>
      </c>
      <c r="E133" s="6" t="s">
        <v>693</v>
      </c>
      <c r="F133" s="6" t="s">
        <v>33</v>
      </c>
      <c r="G133" s="5" t="s">
        <v>104</v>
      </c>
      <c r="H133" s="5"/>
      <c r="I133" s="5"/>
      <c r="J133" s="54">
        <v>120000</v>
      </c>
      <c r="K133" s="6" t="s">
        <v>694</v>
      </c>
      <c r="L133" s="6" t="s">
        <v>695</v>
      </c>
      <c r="M133" s="6" t="b">
        <v>0</v>
      </c>
      <c r="N133" s="6" t="s">
        <v>696</v>
      </c>
      <c r="O133" s="6" t="s">
        <v>697</v>
      </c>
      <c r="P133" s="6" t="s">
        <v>28</v>
      </c>
      <c r="Q133" s="6" t="s">
        <v>55</v>
      </c>
      <c r="R133" s="6" t="s">
        <v>110</v>
      </c>
      <c r="S133" s="5" t="s">
        <v>3323</v>
      </c>
      <c r="T133" s="10"/>
      <c r="U133" s="6"/>
    </row>
    <row r="134" spans="1:21" x14ac:dyDescent="0.2">
      <c r="A134" s="8">
        <v>6.13</v>
      </c>
      <c r="B134" s="5" t="s">
        <v>154</v>
      </c>
      <c r="C134" s="5" t="s">
        <v>19</v>
      </c>
      <c r="D134" s="6" t="s">
        <v>698</v>
      </c>
      <c r="E134" s="6" t="s">
        <v>699</v>
      </c>
      <c r="F134" s="6" t="s">
        <v>33</v>
      </c>
      <c r="G134" s="5" t="s">
        <v>23</v>
      </c>
      <c r="H134" s="5"/>
      <c r="I134" s="5"/>
      <c r="J134" s="54">
        <v>150000</v>
      </c>
      <c r="K134" s="6" t="s">
        <v>700</v>
      </c>
      <c r="L134" s="6" t="s">
        <v>701</v>
      </c>
      <c r="M134" s="6" t="b">
        <v>0</v>
      </c>
      <c r="N134" s="6" t="s">
        <v>702</v>
      </c>
      <c r="O134" s="6" t="s">
        <v>703</v>
      </c>
      <c r="P134" s="6" t="s">
        <v>28</v>
      </c>
      <c r="Q134" s="6" t="s">
        <v>704</v>
      </c>
      <c r="R134" s="6" t="s">
        <v>162</v>
      </c>
      <c r="S134" s="5" t="s">
        <v>3323</v>
      </c>
      <c r="T134" s="10"/>
      <c r="U134" s="6"/>
    </row>
    <row r="135" spans="1:21" x14ac:dyDescent="0.2">
      <c r="A135" s="8">
        <v>6.13</v>
      </c>
      <c r="B135" s="5" t="s">
        <v>154</v>
      </c>
      <c r="C135" s="5" t="s">
        <v>19</v>
      </c>
      <c r="D135" s="6" t="s">
        <v>711</v>
      </c>
      <c r="E135" s="6" t="s">
        <v>103</v>
      </c>
      <c r="F135" s="6" t="s">
        <v>290</v>
      </c>
      <c r="G135" s="5" t="s">
        <v>23</v>
      </c>
      <c r="H135" s="5"/>
      <c r="I135" s="5"/>
      <c r="J135" s="54">
        <v>0</v>
      </c>
      <c r="K135" s="6" t="s">
        <v>291</v>
      </c>
      <c r="L135" s="6" t="s">
        <v>292</v>
      </c>
      <c r="M135" s="6" t="b">
        <v>0</v>
      </c>
      <c r="N135" s="6" t="s">
        <v>712</v>
      </c>
      <c r="O135" s="6" t="s">
        <v>243</v>
      </c>
      <c r="P135" s="6" t="s">
        <v>28</v>
      </c>
      <c r="Q135" s="6" t="s">
        <v>713</v>
      </c>
      <c r="R135" s="6" t="s">
        <v>162</v>
      </c>
      <c r="S135" s="5" t="s">
        <v>3323</v>
      </c>
      <c r="T135" s="10"/>
      <c r="U135" s="6"/>
    </row>
    <row r="136" spans="1:21" x14ac:dyDescent="0.2">
      <c r="A136" s="8">
        <v>6.12</v>
      </c>
      <c r="B136" s="5" t="s">
        <v>154</v>
      </c>
      <c r="C136" s="5" t="s">
        <v>101</v>
      </c>
      <c r="D136" s="6" t="s">
        <v>714</v>
      </c>
      <c r="E136" s="6" t="s">
        <v>715</v>
      </c>
      <c r="F136" s="6" t="s">
        <v>33</v>
      </c>
      <c r="G136" s="5" t="s">
        <v>104</v>
      </c>
      <c r="H136" s="5"/>
      <c r="I136" s="5"/>
      <c r="J136" s="54">
        <v>300000</v>
      </c>
      <c r="K136" s="6" t="s">
        <v>716</v>
      </c>
      <c r="L136" s="6" t="s">
        <v>717</v>
      </c>
      <c r="M136" s="6" t="b">
        <v>0</v>
      </c>
      <c r="N136" s="6" t="s">
        <v>718</v>
      </c>
      <c r="O136" s="6" t="s">
        <v>719</v>
      </c>
      <c r="P136" s="6" t="s">
        <v>38</v>
      </c>
      <c r="Q136" s="6" t="s">
        <v>720</v>
      </c>
      <c r="R136" s="6" t="s">
        <v>110</v>
      </c>
      <c r="S136" s="5" t="s">
        <v>3323</v>
      </c>
      <c r="T136" s="10"/>
      <c r="U136" s="6"/>
    </row>
    <row r="137" spans="1:21" x14ac:dyDescent="0.2">
      <c r="A137" s="8">
        <v>6.1</v>
      </c>
      <c r="B137" s="5" t="s">
        <v>154</v>
      </c>
      <c r="C137" s="5" t="s">
        <v>101</v>
      </c>
      <c r="D137" s="6" t="s">
        <v>743</v>
      </c>
      <c r="E137" s="6" t="s">
        <v>744</v>
      </c>
      <c r="F137" s="6" t="s">
        <v>427</v>
      </c>
      <c r="G137" s="5" t="s">
        <v>104</v>
      </c>
      <c r="H137" s="5"/>
      <c r="I137" s="5"/>
      <c r="J137" s="54">
        <v>127000</v>
      </c>
      <c r="K137" s="6" t="s">
        <v>745</v>
      </c>
      <c r="L137" s="6" t="s">
        <v>746</v>
      </c>
      <c r="M137" s="6" t="b">
        <v>0</v>
      </c>
      <c r="N137" s="6" t="s">
        <v>747</v>
      </c>
      <c r="O137" s="6" t="s">
        <v>748</v>
      </c>
      <c r="P137" s="6"/>
      <c r="Q137" s="6" t="s">
        <v>749</v>
      </c>
      <c r="R137" s="6" t="s">
        <v>110</v>
      </c>
      <c r="S137" s="5" t="s">
        <v>3323</v>
      </c>
      <c r="T137" s="10"/>
      <c r="U137" s="6"/>
    </row>
    <row r="138" spans="1:21" x14ac:dyDescent="0.2">
      <c r="A138" s="8">
        <v>6.1</v>
      </c>
      <c r="B138" s="5" t="s">
        <v>154</v>
      </c>
      <c r="C138" s="5" t="s">
        <v>19</v>
      </c>
      <c r="D138" s="6" t="s">
        <v>757</v>
      </c>
      <c r="E138" s="6" t="s">
        <v>103</v>
      </c>
      <c r="F138" s="6" t="s">
        <v>290</v>
      </c>
      <c r="G138" s="5" t="s">
        <v>23</v>
      </c>
      <c r="H138" s="5"/>
      <c r="I138" s="5"/>
      <c r="J138" s="54">
        <v>0</v>
      </c>
      <c r="K138" s="6" t="s">
        <v>758</v>
      </c>
      <c r="L138" s="6" t="s">
        <v>292</v>
      </c>
      <c r="M138" s="6" t="b">
        <v>0</v>
      </c>
      <c r="N138" s="6" t="s">
        <v>759</v>
      </c>
      <c r="O138" s="6" t="s">
        <v>243</v>
      </c>
      <c r="P138" s="6" t="s">
        <v>28</v>
      </c>
      <c r="Q138" s="6" t="s">
        <v>760</v>
      </c>
      <c r="R138" s="6" t="s">
        <v>162</v>
      </c>
      <c r="S138" s="5" t="s">
        <v>3323</v>
      </c>
      <c r="T138" s="10"/>
      <c r="U138" s="6"/>
    </row>
    <row r="139" spans="1:21" x14ac:dyDescent="0.2">
      <c r="A139" s="8">
        <v>6.09</v>
      </c>
      <c r="B139" s="5" t="s">
        <v>154</v>
      </c>
      <c r="C139" s="5" t="s">
        <v>19</v>
      </c>
      <c r="D139" s="6" t="s">
        <v>761</v>
      </c>
      <c r="E139" s="6" t="s">
        <v>762</v>
      </c>
      <c r="F139" s="6" t="s">
        <v>33</v>
      </c>
      <c r="G139" s="5" t="s">
        <v>23</v>
      </c>
      <c r="H139" s="5"/>
      <c r="I139" s="5"/>
      <c r="J139" s="54">
        <v>0</v>
      </c>
      <c r="K139" s="6" t="s">
        <v>763</v>
      </c>
      <c r="L139" s="6" t="s">
        <v>59</v>
      </c>
      <c r="M139" s="6" t="b">
        <v>0</v>
      </c>
      <c r="N139" s="6" t="s">
        <v>764</v>
      </c>
      <c r="O139" s="6" t="s">
        <v>765</v>
      </c>
      <c r="P139" s="6" t="s">
        <v>38</v>
      </c>
      <c r="Q139" s="6" t="s">
        <v>766</v>
      </c>
      <c r="R139" s="6" t="s">
        <v>162</v>
      </c>
      <c r="S139" s="5" t="s">
        <v>3323</v>
      </c>
      <c r="T139" s="10"/>
      <c r="U139" s="6"/>
    </row>
    <row r="140" spans="1:21" x14ac:dyDescent="0.2">
      <c r="A140" s="8">
        <v>6.09</v>
      </c>
      <c r="B140" s="5" t="s">
        <v>154</v>
      </c>
      <c r="C140" s="5" t="s">
        <v>101</v>
      </c>
      <c r="D140" s="6" t="s">
        <v>767</v>
      </c>
      <c r="E140" s="6" t="s">
        <v>768</v>
      </c>
      <c r="F140" s="6" t="s">
        <v>33</v>
      </c>
      <c r="G140" s="5" t="s">
        <v>104</v>
      </c>
      <c r="H140" s="5"/>
      <c r="I140" s="5"/>
      <c r="J140" s="54">
        <v>545000</v>
      </c>
      <c r="K140" s="6" t="s">
        <v>769</v>
      </c>
      <c r="L140" s="6" t="s">
        <v>59</v>
      </c>
      <c r="M140" s="6" t="b">
        <v>0</v>
      </c>
      <c r="N140" s="6" t="s">
        <v>770</v>
      </c>
      <c r="O140" s="6" t="s">
        <v>771</v>
      </c>
      <c r="P140" s="6" t="s">
        <v>92</v>
      </c>
      <c r="Q140" s="6" t="s">
        <v>772</v>
      </c>
      <c r="R140" s="6" t="s">
        <v>110</v>
      </c>
      <c r="S140" s="5" t="s">
        <v>3323</v>
      </c>
      <c r="T140" s="10"/>
      <c r="U140" s="6"/>
    </row>
    <row r="141" spans="1:21" x14ac:dyDescent="0.2">
      <c r="A141" s="8">
        <v>6.08</v>
      </c>
      <c r="B141" s="5" t="s">
        <v>154</v>
      </c>
      <c r="C141" s="5" t="s">
        <v>19</v>
      </c>
      <c r="D141" s="6" t="s">
        <v>773</v>
      </c>
      <c r="E141" s="6" t="s">
        <v>774</v>
      </c>
      <c r="F141" s="6" t="s">
        <v>120</v>
      </c>
      <c r="G141" s="5" t="s">
        <v>23</v>
      </c>
      <c r="H141" s="5"/>
      <c r="I141" s="5"/>
      <c r="J141" s="54">
        <v>0</v>
      </c>
      <c r="K141" s="6" t="s">
        <v>775</v>
      </c>
      <c r="L141" s="6" t="s">
        <v>59</v>
      </c>
      <c r="M141" s="6" t="b">
        <v>0</v>
      </c>
      <c r="N141" s="6" t="s">
        <v>776</v>
      </c>
      <c r="O141" s="6" t="s">
        <v>777</v>
      </c>
      <c r="P141" s="6" t="s">
        <v>38</v>
      </c>
      <c r="Q141" s="6" t="s">
        <v>778</v>
      </c>
      <c r="R141" s="6" t="s">
        <v>162</v>
      </c>
      <c r="S141" s="5" t="s">
        <v>3323</v>
      </c>
      <c r="T141" s="10"/>
      <c r="U141" s="6"/>
    </row>
    <row r="142" spans="1:21" x14ac:dyDescent="0.2">
      <c r="A142" s="8">
        <v>6.06</v>
      </c>
      <c r="B142" s="5" t="s">
        <v>154</v>
      </c>
      <c r="C142" s="5" t="s">
        <v>101</v>
      </c>
      <c r="D142" s="6" t="s">
        <v>786</v>
      </c>
      <c r="E142" s="6" t="s">
        <v>787</v>
      </c>
      <c r="F142" s="6" t="s">
        <v>33</v>
      </c>
      <c r="G142" s="5" t="s">
        <v>104</v>
      </c>
      <c r="H142" s="5"/>
      <c r="I142" s="5"/>
      <c r="J142" s="54">
        <v>220000</v>
      </c>
      <c r="K142" s="6" t="s">
        <v>788</v>
      </c>
      <c r="L142" s="6" t="s">
        <v>789</v>
      </c>
      <c r="M142" s="6" t="b">
        <v>0</v>
      </c>
      <c r="N142" s="6" t="s">
        <v>790</v>
      </c>
      <c r="O142" s="6" t="s">
        <v>791</v>
      </c>
      <c r="P142" s="6" t="s">
        <v>92</v>
      </c>
      <c r="Q142" s="6" t="s">
        <v>55</v>
      </c>
      <c r="R142" s="6" t="s">
        <v>110</v>
      </c>
      <c r="S142" s="5" t="s">
        <v>3323</v>
      </c>
      <c r="T142" s="10"/>
      <c r="U142" s="6"/>
    </row>
    <row r="143" spans="1:21" x14ac:dyDescent="0.2">
      <c r="A143" s="8">
        <v>6.04</v>
      </c>
      <c r="B143" s="5" t="s">
        <v>154</v>
      </c>
      <c r="C143" s="5" t="s">
        <v>19</v>
      </c>
      <c r="D143" s="6" t="s">
        <v>799</v>
      </c>
      <c r="E143" s="6" t="s">
        <v>103</v>
      </c>
      <c r="F143" s="6" t="s">
        <v>290</v>
      </c>
      <c r="G143" s="5" t="s">
        <v>23</v>
      </c>
      <c r="H143" s="5"/>
      <c r="I143" s="5"/>
      <c r="J143" s="54">
        <v>0</v>
      </c>
      <c r="K143" s="6" t="s">
        <v>291</v>
      </c>
      <c r="L143" s="6" t="s">
        <v>59</v>
      </c>
      <c r="M143" s="6" t="b">
        <v>0</v>
      </c>
      <c r="N143" s="6" t="s">
        <v>800</v>
      </c>
      <c r="O143" s="6" t="s">
        <v>274</v>
      </c>
      <c r="P143" s="6" t="s">
        <v>28</v>
      </c>
      <c r="Q143" s="6" t="s">
        <v>801</v>
      </c>
      <c r="R143" s="6" t="s">
        <v>162</v>
      </c>
      <c r="S143" s="5" t="s">
        <v>3323</v>
      </c>
      <c r="T143" s="10"/>
      <c r="U143" s="6"/>
    </row>
    <row r="144" spans="1:21" x14ac:dyDescent="0.2">
      <c r="A144" s="8">
        <v>6.03</v>
      </c>
      <c r="B144" s="5" t="s">
        <v>154</v>
      </c>
      <c r="C144" s="5" t="s">
        <v>19</v>
      </c>
      <c r="D144" s="6" t="s">
        <v>808</v>
      </c>
      <c r="E144" s="6" t="s">
        <v>809</v>
      </c>
      <c r="F144" s="6" t="s">
        <v>810</v>
      </c>
      <c r="G144" s="5" t="s">
        <v>23</v>
      </c>
      <c r="H144" s="5"/>
      <c r="I144" s="5"/>
      <c r="J144" s="54">
        <v>0</v>
      </c>
      <c r="K144" s="6" t="s">
        <v>811</v>
      </c>
      <c r="L144" s="6" t="s">
        <v>812</v>
      </c>
      <c r="M144" s="6" t="b">
        <v>0</v>
      </c>
      <c r="N144" s="6" t="s">
        <v>813</v>
      </c>
      <c r="O144" s="6" t="s">
        <v>814</v>
      </c>
      <c r="P144" s="6" t="s">
        <v>38</v>
      </c>
      <c r="Q144" s="6" t="s">
        <v>815</v>
      </c>
      <c r="R144" s="6" t="s">
        <v>162</v>
      </c>
      <c r="S144" s="5" t="s">
        <v>3323</v>
      </c>
      <c r="T144" s="10"/>
      <c r="U144" s="6"/>
    </row>
    <row r="145" spans="1:21" x14ac:dyDescent="0.2">
      <c r="A145" s="8">
        <v>6.02</v>
      </c>
      <c r="B145" s="5" t="s">
        <v>154</v>
      </c>
      <c r="C145" s="5" t="s">
        <v>19</v>
      </c>
      <c r="D145" s="6" t="s">
        <v>821</v>
      </c>
      <c r="E145" s="6" t="s">
        <v>822</v>
      </c>
      <c r="F145" s="6" t="s">
        <v>810</v>
      </c>
      <c r="G145" s="5" t="s">
        <v>23</v>
      </c>
      <c r="H145" s="5"/>
      <c r="I145" s="5"/>
      <c r="J145" s="54">
        <v>0</v>
      </c>
      <c r="K145" s="6" t="s">
        <v>823</v>
      </c>
      <c r="L145" s="6" t="s">
        <v>824</v>
      </c>
      <c r="M145" s="6" t="b">
        <v>0</v>
      </c>
      <c r="N145" s="6" t="s">
        <v>825</v>
      </c>
      <c r="O145" s="6" t="s">
        <v>826</v>
      </c>
      <c r="P145" s="6" t="s">
        <v>38</v>
      </c>
      <c r="Q145" s="6" t="s">
        <v>827</v>
      </c>
      <c r="R145" s="6" t="s">
        <v>162</v>
      </c>
      <c r="S145" s="5" t="s">
        <v>3323</v>
      </c>
      <c r="T145" s="10"/>
      <c r="U145" s="6"/>
    </row>
    <row r="146" spans="1:21" x14ac:dyDescent="0.2">
      <c r="A146" s="8">
        <v>6.02</v>
      </c>
      <c r="B146" s="5" t="s">
        <v>154</v>
      </c>
      <c r="C146" s="5" t="s">
        <v>19</v>
      </c>
      <c r="D146" s="6" t="s">
        <v>828</v>
      </c>
      <c r="E146" s="6" t="s">
        <v>829</v>
      </c>
      <c r="F146" s="6" t="s">
        <v>120</v>
      </c>
      <c r="G146" s="5" t="s">
        <v>23</v>
      </c>
      <c r="H146" s="5"/>
      <c r="I146" s="5"/>
      <c r="J146" s="54">
        <v>0</v>
      </c>
      <c r="K146" s="6" t="s">
        <v>830</v>
      </c>
      <c r="L146" s="6" t="s">
        <v>831</v>
      </c>
      <c r="M146" s="6" t="b">
        <v>0</v>
      </c>
      <c r="N146" s="6" t="s">
        <v>832</v>
      </c>
      <c r="O146" s="6" t="s">
        <v>833</v>
      </c>
      <c r="P146" s="6" t="s">
        <v>38</v>
      </c>
      <c r="Q146" s="6" t="s">
        <v>585</v>
      </c>
      <c r="R146" s="6" t="s">
        <v>162</v>
      </c>
      <c r="S146" s="5" t="s">
        <v>3323</v>
      </c>
      <c r="T146" s="10"/>
      <c r="U146" s="6"/>
    </row>
    <row r="147" spans="1:21" x14ac:dyDescent="0.2">
      <c r="A147" s="8">
        <v>6.02</v>
      </c>
      <c r="B147" s="5" t="s">
        <v>154</v>
      </c>
      <c r="C147" s="5" t="s">
        <v>19</v>
      </c>
      <c r="D147" s="6" t="s">
        <v>834</v>
      </c>
      <c r="E147" s="6" t="s">
        <v>835</v>
      </c>
      <c r="F147" s="6" t="s">
        <v>33</v>
      </c>
      <c r="G147" s="5" t="s">
        <v>23</v>
      </c>
      <c r="H147" s="5"/>
      <c r="I147" s="5"/>
      <c r="J147" s="54">
        <v>500000</v>
      </c>
      <c r="K147" s="6" t="s">
        <v>59</v>
      </c>
      <c r="L147" s="6" t="s">
        <v>59</v>
      </c>
      <c r="M147" s="6" t="b">
        <v>0</v>
      </c>
      <c r="N147" s="6" t="s">
        <v>836</v>
      </c>
      <c r="O147" s="6" t="s">
        <v>837</v>
      </c>
      <c r="P147" s="6" t="s">
        <v>38</v>
      </c>
      <c r="Q147" s="6" t="s">
        <v>838</v>
      </c>
      <c r="R147" s="6" t="s">
        <v>162</v>
      </c>
      <c r="S147" s="5" t="s">
        <v>3323</v>
      </c>
      <c r="T147" s="10"/>
      <c r="U147" s="6"/>
    </row>
    <row r="148" spans="1:21" x14ac:dyDescent="0.2">
      <c r="A148" s="8">
        <v>6.02</v>
      </c>
      <c r="B148" s="5" t="s">
        <v>154</v>
      </c>
      <c r="C148" s="5" t="s">
        <v>19</v>
      </c>
      <c r="D148" s="6" t="s">
        <v>839</v>
      </c>
      <c r="E148" s="6" t="s">
        <v>103</v>
      </c>
      <c r="F148" s="6" t="s">
        <v>427</v>
      </c>
      <c r="G148" s="5" t="s">
        <v>23</v>
      </c>
      <c r="H148" s="5"/>
      <c r="I148" s="5"/>
      <c r="J148" s="54">
        <v>0</v>
      </c>
      <c r="K148" s="6" t="s">
        <v>840</v>
      </c>
      <c r="L148" s="6" t="s">
        <v>44</v>
      </c>
      <c r="M148" s="6" t="b">
        <v>0</v>
      </c>
      <c r="N148" s="6" t="s">
        <v>841</v>
      </c>
      <c r="O148" s="6" t="s">
        <v>842</v>
      </c>
      <c r="P148" s="6" t="s">
        <v>38</v>
      </c>
      <c r="Q148" s="6" t="s">
        <v>432</v>
      </c>
      <c r="R148" s="6" t="s">
        <v>162</v>
      </c>
      <c r="S148" s="5" t="s">
        <v>3323</v>
      </c>
      <c r="T148" s="10"/>
      <c r="U148" s="6"/>
    </row>
    <row r="149" spans="1:21" x14ac:dyDescent="0.2">
      <c r="A149" s="8">
        <v>6</v>
      </c>
      <c r="B149" s="5" t="s">
        <v>154</v>
      </c>
      <c r="C149" s="5" t="s">
        <v>19</v>
      </c>
      <c r="D149" s="6" t="s">
        <v>843</v>
      </c>
      <c r="E149" s="6" t="s">
        <v>502</v>
      </c>
      <c r="F149" s="6" t="s">
        <v>33</v>
      </c>
      <c r="G149" s="5" t="s">
        <v>23</v>
      </c>
      <c r="H149" s="5"/>
      <c r="I149" s="5"/>
      <c r="J149" s="54">
        <v>381000</v>
      </c>
      <c r="K149" s="6" t="s">
        <v>267</v>
      </c>
      <c r="L149" s="6" t="s">
        <v>844</v>
      </c>
      <c r="M149" s="6" t="b">
        <v>0</v>
      </c>
      <c r="N149" s="6" t="s">
        <v>845</v>
      </c>
      <c r="O149" s="6" t="s">
        <v>846</v>
      </c>
      <c r="P149" s="6"/>
      <c r="Q149" s="6" t="s">
        <v>847</v>
      </c>
      <c r="R149" s="6" t="s">
        <v>162</v>
      </c>
      <c r="S149" s="5" t="s">
        <v>3323</v>
      </c>
      <c r="T149" s="10"/>
      <c r="U149" s="6"/>
    </row>
    <row r="150" spans="1:21" x14ac:dyDescent="0.2">
      <c r="A150" s="8">
        <v>6</v>
      </c>
      <c r="B150" s="5" t="s">
        <v>154</v>
      </c>
      <c r="C150" s="5" t="s">
        <v>19</v>
      </c>
      <c r="D150" s="6" t="s">
        <v>848</v>
      </c>
      <c r="E150" s="6" t="s">
        <v>103</v>
      </c>
      <c r="F150" s="6" t="s">
        <v>22</v>
      </c>
      <c r="G150" s="5" t="s">
        <v>23</v>
      </c>
      <c r="H150" s="5"/>
      <c r="I150" s="5"/>
      <c r="J150" s="54">
        <v>0</v>
      </c>
      <c r="K150" s="6" t="s">
        <v>105</v>
      </c>
      <c r="L150" s="6" t="s">
        <v>849</v>
      </c>
      <c r="M150" s="6" t="b">
        <v>0</v>
      </c>
      <c r="N150" s="6" t="s">
        <v>850</v>
      </c>
      <c r="O150" s="6" t="s">
        <v>274</v>
      </c>
      <c r="P150" s="6" t="s">
        <v>38</v>
      </c>
      <c r="Q150" s="6" t="s">
        <v>851</v>
      </c>
      <c r="R150" s="6" t="s">
        <v>162</v>
      </c>
      <c r="S150" s="5" t="s">
        <v>3323</v>
      </c>
      <c r="T150" s="10"/>
      <c r="U150" s="6"/>
    </row>
    <row r="151" spans="1:21" x14ac:dyDescent="0.2">
      <c r="A151" s="8">
        <v>6</v>
      </c>
      <c r="B151" s="5" t="s">
        <v>154</v>
      </c>
      <c r="C151" s="5" t="s">
        <v>19</v>
      </c>
      <c r="D151" s="6" t="s">
        <v>852</v>
      </c>
      <c r="E151" s="6" t="s">
        <v>103</v>
      </c>
      <c r="F151" s="6" t="s">
        <v>290</v>
      </c>
      <c r="G151" s="5" t="s">
        <v>23</v>
      </c>
      <c r="H151" s="5"/>
      <c r="I151" s="5"/>
      <c r="J151" s="54">
        <v>0</v>
      </c>
      <c r="K151" s="6" t="s">
        <v>291</v>
      </c>
      <c r="L151" s="6" t="s">
        <v>853</v>
      </c>
      <c r="M151" s="6" t="b">
        <v>0</v>
      </c>
      <c r="N151" s="6" t="s">
        <v>854</v>
      </c>
      <c r="O151" s="6" t="s">
        <v>243</v>
      </c>
      <c r="P151" s="6" t="s">
        <v>28</v>
      </c>
      <c r="Q151" s="6" t="s">
        <v>855</v>
      </c>
      <c r="R151" s="6" t="s">
        <v>162</v>
      </c>
      <c r="S151" s="5" t="s">
        <v>3323</v>
      </c>
      <c r="T151" s="10"/>
      <c r="U151" s="6"/>
    </row>
    <row r="152" spans="1:21" x14ac:dyDescent="0.2">
      <c r="A152" s="8">
        <v>5.98</v>
      </c>
      <c r="B152" s="5" t="s">
        <v>856</v>
      </c>
      <c r="C152" s="5" t="s">
        <v>101</v>
      </c>
      <c r="D152" s="6" t="s">
        <v>857</v>
      </c>
      <c r="E152" s="6" t="s">
        <v>858</v>
      </c>
      <c r="F152" s="6" t="s">
        <v>33</v>
      </c>
      <c r="G152" s="5" t="s">
        <v>104</v>
      </c>
      <c r="H152" s="5"/>
      <c r="I152" s="5"/>
      <c r="J152" s="54">
        <v>250000</v>
      </c>
      <c r="K152" s="6" t="s">
        <v>859</v>
      </c>
      <c r="L152" s="6" t="s">
        <v>860</v>
      </c>
      <c r="M152" s="6" t="b">
        <v>0</v>
      </c>
      <c r="N152" s="6" t="s">
        <v>861</v>
      </c>
      <c r="O152" s="6" t="s">
        <v>862</v>
      </c>
      <c r="P152" s="6" t="s">
        <v>92</v>
      </c>
      <c r="Q152" s="6" t="s">
        <v>39</v>
      </c>
      <c r="R152" s="6" t="s">
        <v>110</v>
      </c>
      <c r="S152" s="5" t="s">
        <v>3323</v>
      </c>
      <c r="T152" s="10"/>
      <c r="U152" s="6"/>
    </row>
    <row r="153" spans="1:21" x14ac:dyDescent="0.2">
      <c r="A153" s="8">
        <v>5.96</v>
      </c>
      <c r="B153" s="5" t="s">
        <v>856</v>
      </c>
      <c r="C153" s="5" t="s">
        <v>863</v>
      </c>
      <c r="D153" s="6" t="s">
        <v>864</v>
      </c>
      <c r="E153" s="6" t="s">
        <v>865</v>
      </c>
      <c r="F153" s="6" t="s">
        <v>810</v>
      </c>
      <c r="G153" s="5" t="s">
        <v>23</v>
      </c>
      <c r="H153" s="5"/>
      <c r="I153" s="5"/>
      <c r="J153" s="54">
        <v>0</v>
      </c>
      <c r="K153" s="6" t="s">
        <v>866</v>
      </c>
      <c r="L153" s="6" t="s">
        <v>867</v>
      </c>
      <c r="M153" s="6" t="b">
        <v>0</v>
      </c>
      <c r="N153" s="6" t="s">
        <v>868</v>
      </c>
      <c r="O153" s="6" t="s">
        <v>869</v>
      </c>
      <c r="P153" s="6" t="s">
        <v>38</v>
      </c>
      <c r="Q153" s="6" t="s">
        <v>870</v>
      </c>
      <c r="R153" s="6" t="s">
        <v>871</v>
      </c>
      <c r="S153" s="5" t="s">
        <v>3323</v>
      </c>
      <c r="T153" s="10"/>
      <c r="U153" s="6"/>
    </row>
    <row r="154" spans="1:21" x14ac:dyDescent="0.2">
      <c r="A154" s="8">
        <v>5.96</v>
      </c>
      <c r="B154" s="5" t="s">
        <v>856</v>
      </c>
      <c r="C154" s="5" t="s">
        <v>863</v>
      </c>
      <c r="D154" s="6" t="s">
        <v>872</v>
      </c>
      <c r="E154" s="6" t="s">
        <v>873</v>
      </c>
      <c r="F154" s="6" t="s">
        <v>73</v>
      </c>
      <c r="G154" s="5" t="s">
        <v>23</v>
      </c>
      <c r="H154" s="5"/>
      <c r="I154" s="5"/>
      <c r="J154" s="54">
        <v>400000</v>
      </c>
      <c r="K154" s="6" t="s">
        <v>874</v>
      </c>
      <c r="L154" s="6" t="s">
        <v>875</v>
      </c>
      <c r="M154" s="6" t="b">
        <v>0</v>
      </c>
      <c r="N154" s="6" t="s">
        <v>876</v>
      </c>
      <c r="O154" s="6" t="s">
        <v>877</v>
      </c>
      <c r="P154" s="6" t="s">
        <v>28</v>
      </c>
      <c r="Q154" s="6" t="s">
        <v>878</v>
      </c>
      <c r="R154" s="6" t="s">
        <v>871</v>
      </c>
      <c r="S154" s="5" t="s">
        <v>3323</v>
      </c>
      <c r="T154" s="10"/>
      <c r="U154" s="6"/>
    </row>
    <row r="155" spans="1:21" x14ac:dyDescent="0.2">
      <c r="A155" s="8">
        <v>5.96</v>
      </c>
      <c r="B155" s="5" t="s">
        <v>856</v>
      </c>
      <c r="C155" s="5" t="s">
        <v>863</v>
      </c>
      <c r="D155" s="6" t="s">
        <v>879</v>
      </c>
      <c r="E155" s="6" t="s">
        <v>103</v>
      </c>
      <c r="F155" s="6" t="s">
        <v>22</v>
      </c>
      <c r="G155" s="5" t="s">
        <v>23</v>
      </c>
      <c r="H155" s="5"/>
      <c r="I155" s="5"/>
      <c r="J155" s="54">
        <v>2000</v>
      </c>
      <c r="K155" s="6" t="s">
        <v>880</v>
      </c>
      <c r="L155" s="6" t="s">
        <v>881</v>
      </c>
      <c r="M155" s="6" t="b">
        <v>0</v>
      </c>
      <c r="N155" s="6" t="s">
        <v>882</v>
      </c>
      <c r="O155" s="6" t="s">
        <v>274</v>
      </c>
      <c r="P155" s="6" t="s">
        <v>28</v>
      </c>
      <c r="Q155" s="6" t="s">
        <v>883</v>
      </c>
      <c r="R155" s="6" t="s">
        <v>871</v>
      </c>
      <c r="S155" s="5" t="s">
        <v>3323</v>
      </c>
      <c r="T155" s="10"/>
      <c r="U155" s="6"/>
    </row>
    <row r="156" spans="1:21" x14ac:dyDescent="0.2">
      <c r="A156" s="8">
        <v>5.95</v>
      </c>
      <c r="B156" s="5" t="s">
        <v>856</v>
      </c>
      <c r="C156" s="5" t="s">
        <v>101</v>
      </c>
      <c r="D156" s="6" t="s">
        <v>884</v>
      </c>
      <c r="E156" s="6" t="s">
        <v>885</v>
      </c>
      <c r="F156" s="6" t="s">
        <v>33</v>
      </c>
      <c r="G156" s="5" t="s">
        <v>104</v>
      </c>
      <c r="H156" s="5"/>
      <c r="I156" s="5"/>
      <c r="J156" s="54">
        <v>810000</v>
      </c>
      <c r="K156" s="6" t="s">
        <v>886</v>
      </c>
      <c r="L156" s="6" t="s">
        <v>525</v>
      </c>
      <c r="M156" s="6" t="b">
        <v>0</v>
      </c>
      <c r="N156" s="6" t="s">
        <v>887</v>
      </c>
      <c r="O156" s="6" t="s">
        <v>888</v>
      </c>
      <c r="P156" s="6"/>
      <c r="Q156" s="6" t="s">
        <v>889</v>
      </c>
      <c r="R156" s="6" t="s">
        <v>110</v>
      </c>
      <c r="S156" s="5" t="s">
        <v>3323</v>
      </c>
      <c r="T156" s="10"/>
      <c r="U156" s="6"/>
    </row>
    <row r="157" spans="1:21" x14ac:dyDescent="0.2">
      <c r="A157" s="8">
        <v>5.95</v>
      </c>
      <c r="B157" s="5" t="s">
        <v>856</v>
      </c>
      <c r="C157" s="5" t="s">
        <v>863</v>
      </c>
      <c r="D157" s="6" t="s">
        <v>890</v>
      </c>
      <c r="E157" s="6" t="s">
        <v>103</v>
      </c>
      <c r="F157" s="6" t="s">
        <v>290</v>
      </c>
      <c r="G157" s="5" t="s">
        <v>23</v>
      </c>
      <c r="H157" s="5"/>
      <c r="I157" s="5"/>
      <c r="J157" s="54">
        <v>0</v>
      </c>
      <c r="K157" s="6" t="s">
        <v>291</v>
      </c>
      <c r="L157" s="6" t="s">
        <v>891</v>
      </c>
      <c r="M157" s="6" t="b">
        <v>0</v>
      </c>
      <c r="N157" s="6" t="s">
        <v>892</v>
      </c>
      <c r="O157" s="6" t="s">
        <v>243</v>
      </c>
      <c r="P157" s="6" t="s">
        <v>28</v>
      </c>
      <c r="Q157" s="6" t="s">
        <v>893</v>
      </c>
      <c r="R157" s="6" t="s">
        <v>871</v>
      </c>
      <c r="S157" s="5" t="s">
        <v>3323</v>
      </c>
      <c r="T157" s="10"/>
      <c r="U157" s="6"/>
    </row>
    <row r="158" spans="1:21" x14ac:dyDescent="0.2">
      <c r="A158" s="8">
        <v>5.94</v>
      </c>
      <c r="B158" s="5" t="s">
        <v>856</v>
      </c>
      <c r="C158" s="5" t="s">
        <v>863</v>
      </c>
      <c r="D158" s="6" t="s">
        <v>894</v>
      </c>
      <c r="E158" s="6" t="s">
        <v>895</v>
      </c>
      <c r="F158" s="6" t="s">
        <v>33</v>
      </c>
      <c r="G158" s="5" t="s">
        <v>23</v>
      </c>
      <c r="H158" s="5"/>
      <c r="I158" s="5"/>
      <c r="J158" s="54">
        <v>30000</v>
      </c>
      <c r="K158" s="6" t="s">
        <v>896</v>
      </c>
      <c r="L158" s="6" t="s">
        <v>897</v>
      </c>
      <c r="M158" s="6" t="b">
        <v>0</v>
      </c>
      <c r="N158" s="6" t="s">
        <v>898</v>
      </c>
      <c r="O158" s="6" t="s">
        <v>899</v>
      </c>
      <c r="P158" s="6" t="s">
        <v>38</v>
      </c>
      <c r="Q158" s="6" t="s">
        <v>348</v>
      </c>
      <c r="R158" s="6" t="s">
        <v>871</v>
      </c>
      <c r="S158" s="5" t="s">
        <v>3323</v>
      </c>
      <c r="T158" s="10"/>
      <c r="U158" s="6"/>
    </row>
    <row r="159" spans="1:21" x14ac:dyDescent="0.2">
      <c r="A159" s="8">
        <v>5.94</v>
      </c>
      <c r="B159" s="5" t="s">
        <v>856</v>
      </c>
      <c r="C159" s="5" t="s">
        <v>863</v>
      </c>
      <c r="D159" s="6" t="s">
        <v>900</v>
      </c>
      <c r="E159" s="6" t="s">
        <v>901</v>
      </c>
      <c r="F159" s="6" t="s">
        <v>42</v>
      </c>
      <c r="G159" s="5" t="s">
        <v>23</v>
      </c>
      <c r="H159" s="5"/>
      <c r="I159" s="5"/>
      <c r="J159" s="54">
        <v>600000</v>
      </c>
      <c r="K159" s="6" t="s">
        <v>902</v>
      </c>
      <c r="L159" s="6" t="s">
        <v>903</v>
      </c>
      <c r="M159" s="6" t="b">
        <v>0</v>
      </c>
      <c r="N159" s="6" t="s">
        <v>210</v>
      </c>
      <c r="O159" s="6" t="s">
        <v>904</v>
      </c>
      <c r="P159" s="6" t="s">
        <v>92</v>
      </c>
      <c r="Q159" s="6" t="s">
        <v>905</v>
      </c>
      <c r="R159" s="6" t="s">
        <v>871</v>
      </c>
      <c r="S159" s="5" t="s">
        <v>3323</v>
      </c>
      <c r="T159" s="10"/>
      <c r="U159" s="6"/>
    </row>
    <row r="160" spans="1:21" x14ac:dyDescent="0.2">
      <c r="A160" s="8">
        <v>5.93</v>
      </c>
      <c r="B160" s="5" t="s">
        <v>856</v>
      </c>
      <c r="C160" s="5" t="s">
        <v>863</v>
      </c>
      <c r="D160" s="6" t="s">
        <v>919</v>
      </c>
      <c r="E160" s="6" t="s">
        <v>920</v>
      </c>
      <c r="F160" s="6" t="s">
        <v>427</v>
      </c>
      <c r="G160" s="5" t="s">
        <v>23</v>
      </c>
      <c r="H160" s="5"/>
      <c r="I160" s="5"/>
      <c r="J160" s="61">
        <v>500</v>
      </c>
      <c r="K160" s="6" t="s">
        <v>291</v>
      </c>
      <c r="L160" s="6" t="s">
        <v>921</v>
      </c>
      <c r="M160" s="6" t="b">
        <v>0</v>
      </c>
      <c r="N160" s="6" t="s">
        <v>922</v>
      </c>
      <c r="O160" s="6" t="s">
        <v>923</v>
      </c>
      <c r="P160" s="6" t="s">
        <v>28</v>
      </c>
      <c r="Q160" s="6" t="s">
        <v>924</v>
      </c>
      <c r="R160" s="6" t="s">
        <v>871</v>
      </c>
      <c r="S160" s="5" t="s">
        <v>3323</v>
      </c>
      <c r="T160" s="10"/>
      <c r="U160" s="6"/>
    </row>
    <row r="161" spans="1:21" x14ac:dyDescent="0.2">
      <c r="A161" s="8">
        <v>5.92</v>
      </c>
      <c r="B161" s="5" t="s">
        <v>856</v>
      </c>
      <c r="C161" s="5" t="s">
        <v>863</v>
      </c>
      <c r="D161" s="6" t="s">
        <v>925</v>
      </c>
      <c r="E161" s="6" t="s">
        <v>926</v>
      </c>
      <c r="F161" s="6" t="s">
        <v>810</v>
      </c>
      <c r="G161" s="5" t="s">
        <v>23</v>
      </c>
      <c r="H161" s="5"/>
      <c r="I161" s="5"/>
      <c r="J161" s="54">
        <v>0</v>
      </c>
      <c r="K161" s="6" t="s">
        <v>927</v>
      </c>
      <c r="L161" s="6" t="s">
        <v>928</v>
      </c>
      <c r="M161" s="6" t="b">
        <v>0</v>
      </c>
      <c r="N161" s="6" t="s">
        <v>929</v>
      </c>
      <c r="O161" s="6" t="s">
        <v>930</v>
      </c>
      <c r="P161" s="6" t="s">
        <v>38</v>
      </c>
      <c r="Q161" s="6" t="s">
        <v>931</v>
      </c>
      <c r="R161" s="6" t="s">
        <v>871</v>
      </c>
      <c r="S161" s="5" t="s">
        <v>3323</v>
      </c>
      <c r="T161" s="10"/>
      <c r="U161" s="6"/>
    </row>
    <row r="162" spans="1:21" x14ac:dyDescent="0.2">
      <c r="A162" s="8">
        <v>5.92</v>
      </c>
      <c r="B162" s="5" t="s">
        <v>856</v>
      </c>
      <c r="C162" s="5" t="s">
        <v>863</v>
      </c>
      <c r="D162" s="6" t="s">
        <v>932</v>
      </c>
      <c r="E162" s="6" t="s">
        <v>103</v>
      </c>
      <c r="F162" s="6" t="s">
        <v>290</v>
      </c>
      <c r="G162" s="5" t="s">
        <v>23</v>
      </c>
      <c r="H162" s="5"/>
      <c r="I162" s="5"/>
      <c r="J162" s="54">
        <v>0</v>
      </c>
      <c r="K162" s="6" t="s">
        <v>291</v>
      </c>
      <c r="L162" s="6" t="s">
        <v>292</v>
      </c>
      <c r="M162" s="6" t="b">
        <v>0</v>
      </c>
      <c r="N162" s="6" t="s">
        <v>933</v>
      </c>
      <c r="O162" s="6" t="s">
        <v>243</v>
      </c>
      <c r="P162" s="6" t="s">
        <v>28</v>
      </c>
      <c r="Q162" s="6" t="s">
        <v>934</v>
      </c>
      <c r="R162" s="6" t="s">
        <v>871</v>
      </c>
      <c r="S162" s="5" t="s">
        <v>3323</v>
      </c>
      <c r="T162" s="10"/>
      <c r="U162" s="6"/>
    </row>
    <row r="163" spans="1:21" x14ac:dyDescent="0.2">
      <c r="A163" s="8">
        <v>5.91</v>
      </c>
      <c r="B163" s="5" t="s">
        <v>856</v>
      </c>
      <c r="C163" s="5" t="s">
        <v>863</v>
      </c>
      <c r="D163" s="6" t="s">
        <v>935</v>
      </c>
      <c r="E163" s="6" t="s">
        <v>103</v>
      </c>
      <c r="F163" s="6" t="s">
        <v>290</v>
      </c>
      <c r="G163" s="5" t="s">
        <v>23</v>
      </c>
      <c r="H163" s="5"/>
      <c r="I163" s="5"/>
      <c r="J163" s="54">
        <v>0</v>
      </c>
      <c r="K163" s="6" t="s">
        <v>291</v>
      </c>
      <c r="L163" s="6" t="s">
        <v>936</v>
      </c>
      <c r="M163" s="6" t="b">
        <v>0</v>
      </c>
      <c r="N163" s="6" t="s">
        <v>937</v>
      </c>
      <c r="O163" s="6" t="s">
        <v>243</v>
      </c>
      <c r="P163" s="6" t="s">
        <v>28</v>
      </c>
      <c r="Q163" s="6" t="s">
        <v>938</v>
      </c>
      <c r="R163" s="6" t="s">
        <v>871</v>
      </c>
      <c r="S163" s="5" t="s">
        <v>3323</v>
      </c>
      <c r="T163" s="10"/>
      <c r="U163" s="6"/>
    </row>
    <row r="164" spans="1:21" hidden="1" x14ac:dyDescent="0.2">
      <c r="A164">
        <v>5.79</v>
      </c>
      <c r="B164" t="s">
        <v>514</v>
      </c>
      <c r="C164" t="s">
        <v>863</v>
      </c>
      <c r="D164" t="s">
        <v>1054</v>
      </c>
      <c r="E164" t="s">
        <v>1055</v>
      </c>
      <c r="F164" t="s">
        <v>810</v>
      </c>
      <c r="G164" t="s">
        <v>23</v>
      </c>
      <c r="J164">
        <v>0</v>
      </c>
      <c r="K164" t="s">
        <v>1056</v>
      </c>
      <c r="L164" t="s">
        <v>1057</v>
      </c>
      <c r="M164" t="b">
        <v>1</v>
      </c>
      <c r="N164" t="s">
        <v>1058</v>
      </c>
      <c r="O164" t="s">
        <v>1059</v>
      </c>
      <c r="P164" t="s">
        <v>28</v>
      </c>
      <c r="Q164" t="s">
        <v>1060</v>
      </c>
      <c r="R164" t="s">
        <v>871</v>
      </c>
      <c r="S164" t="s">
        <v>3323</v>
      </c>
      <c r="T164" s="2"/>
    </row>
    <row r="165" spans="1:21" x14ac:dyDescent="0.2">
      <c r="A165" s="8">
        <v>5.91</v>
      </c>
      <c r="B165" s="5" t="s">
        <v>856</v>
      </c>
      <c r="C165" s="5" t="s">
        <v>101</v>
      </c>
      <c r="D165" s="6" t="s">
        <v>939</v>
      </c>
      <c r="E165" s="6" t="s">
        <v>940</v>
      </c>
      <c r="F165" s="6" t="s">
        <v>120</v>
      </c>
      <c r="G165" s="5" t="s">
        <v>104</v>
      </c>
      <c r="H165" s="5"/>
      <c r="I165" s="5"/>
      <c r="J165" s="54">
        <v>2000000</v>
      </c>
      <c r="K165" s="6" t="s">
        <v>941</v>
      </c>
      <c r="L165" s="6" t="s">
        <v>532</v>
      </c>
      <c r="M165" s="6" t="b">
        <v>0</v>
      </c>
      <c r="N165" s="6" t="s">
        <v>210</v>
      </c>
      <c r="O165" s="6" t="s">
        <v>942</v>
      </c>
      <c r="P165" s="6" t="s">
        <v>92</v>
      </c>
      <c r="Q165" s="6" t="s">
        <v>778</v>
      </c>
      <c r="R165" s="6" t="s">
        <v>110</v>
      </c>
      <c r="S165" s="5" t="s">
        <v>3323</v>
      </c>
      <c r="T165" s="10"/>
      <c r="U165" s="6"/>
    </row>
    <row r="166" spans="1:21" x14ac:dyDescent="0.2">
      <c r="A166" s="8">
        <v>5.91</v>
      </c>
      <c r="B166" s="5" t="s">
        <v>856</v>
      </c>
      <c r="C166" s="5" t="s">
        <v>863</v>
      </c>
      <c r="D166" s="6" t="s">
        <v>943</v>
      </c>
      <c r="E166" s="6" t="s">
        <v>523</v>
      </c>
      <c r="F166" s="6" t="s">
        <v>33</v>
      </c>
      <c r="G166" s="5" t="s">
        <v>23</v>
      </c>
      <c r="H166" s="5"/>
      <c r="I166" s="5"/>
      <c r="J166" s="54">
        <v>1100000</v>
      </c>
      <c r="K166" s="6" t="s">
        <v>944</v>
      </c>
      <c r="L166" s="6" t="s">
        <v>945</v>
      </c>
      <c r="M166" s="6" t="b">
        <v>0</v>
      </c>
      <c r="N166" s="6" t="s">
        <v>946</v>
      </c>
      <c r="O166" s="6" t="s">
        <v>947</v>
      </c>
      <c r="P166" s="6"/>
      <c r="Q166" s="6" t="s">
        <v>948</v>
      </c>
      <c r="R166" s="6" t="s">
        <v>871</v>
      </c>
      <c r="S166" s="5" t="s">
        <v>3323</v>
      </c>
      <c r="T166" s="10"/>
      <c r="U166" s="6"/>
    </row>
    <row r="167" spans="1:21" x14ac:dyDescent="0.2">
      <c r="A167" s="8">
        <v>5.9</v>
      </c>
      <c r="B167" s="5" t="s">
        <v>856</v>
      </c>
      <c r="C167" s="5" t="s">
        <v>101</v>
      </c>
      <c r="D167" s="6" t="s">
        <v>949</v>
      </c>
      <c r="E167" s="6" t="s">
        <v>950</v>
      </c>
      <c r="F167" s="6" t="s">
        <v>33</v>
      </c>
      <c r="G167" s="5" t="s">
        <v>104</v>
      </c>
      <c r="H167" s="5"/>
      <c r="I167" s="5"/>
      <c r="J167" s="54">
        <v>220000</v>
      </c>
      <c r="K167" s="6" t="s">
        <v>951</v>
      </c>
      <c r="L167" s="6" t="s">
        <v>952</v>
      </c>
      <c r="M167" s="6" t="b">
        <v>0</v>
      </c>
      <c r="N167" s="6" t="s">
        <v>953</v>
      </c>
      <c r="O167" s="6" t="s">
        <v>954</v>
      </c>
      <c r="P167" s="6"/>
      <c r="Q167" s="6" t="s">
        <v>55</v>
      </c>
      <c r="R167" s="6" t="s">
        <v>110</v>
      </c>
      <c r="S167" s="5" t="s">
        <v>3323</v>
      </c>
      <c r="T167" s="10"/>
      <c r="U167" s="6"/>
    </row>
    <row r="168" spans="1:21" x14ac:dyDescent="0.2">
      <c r="A168" s="8">
        <v>5.9</v>
      </c>
      <c r="B168" s="5" t="s">
        <v>856</v>
      </c>
      <c r="C168" s="5" t="s">
        <v>863</v>
      </c>
      <c r="D168" s="6" t="s">
        <v>955</v>
      </c>
      <c r="E168" s="6" t="s">
        <v>956</v>
      </c>
      <c r="F168" s="6" t="s">
        <v>290</v>
      </c>
      <c r="G168" s="5" t="s">
        <v>23</v>
      </c>
      <c r="H168" s="5"/>
      <c r="I168" s="5"/>
      <c r="J168" s="54">
        <v>0</v>
      </c>
      <c r="K168" s="6" t="s">
        <v>291</v>
      </c>
      <c r="L168" s="6" t="s">
        <v>957</v>
      </c>
      <c r="M168" s="6" t="b">
        <v>0</v>
      </c>
      <c r="N168" s="6" t="s">
        <v>958</v>
      </c>
      <c r="O168" s="6" t="s">
        <v>959</v>
      </c>
      <c r="P168" s="6" t="s">
        <v>38</v>
      </c>
      <c r="Q168" s="6" t="s">
        <v>960</v>
      </c>
      <c r="R168" s="6" t="s">
        <v>871</v>
      </c>
      <c r="S168" s="5" t="s">
        <v>3323</v>
      </c>
      <c r="T168" s="10"/>
      <c r="U168" s="6"/>
    </row>
    <row r="169" spans="1:21" x14ac:dyDescent="0.2">
      <c r="A169" s="8">
        <v>5.9</v>
      </c>
      <c r="B169" s="5" t="s">
        <v>856</v>
      </c>
      <c r="C169" s="5" t="s">
        <v>101</v>
      </c>
      <c r="D169" s="6" t="s">
        <v>961</v>
      </c>
      <c r="E169" s="6" t="s">
        <v>962</v>
      </c>
      <c r="F169" s="6" t="s">
        <v>33</v>
      </c>
      <c r="G169" s="5" t="s">
        <v>104</v>
      </c>
      <c r="H169" s="5"/>
      <c r="I169" s="5"/>
      <c r="J169" s="54">
        <v>0</v>
      </c>
      <c r="K169" s="6" t="s">
        <v>963</v>
      </c>
      <c r="L169" s="6" t="s">
        <v>59</v>
      </c>
      <c r="M169" s="6" t="b">
        <v>0</v>
      </c>
      <c r="N169" s="6" t="s">
        <v>964</v>
      </c>
      <c r="O169" s="6" t="s">
        <v>965</v>
      </c>
      <c r="P169" s="6" t="s">
        <v>38</v>
      </c>
      <c r="Q169" s="6" t="s">
        <v>966</v>
      </c>
      <c r="R169" s="6" t="s">
        <v>110</v>
      </c>
      <c r="S169" s="5" t="s">
        <v>3323</v>
      </c>
      <c r="T169" s="10"/>
      <c r="U169" s="6"/>
    </row>
    <row r="170" spans="1:21" x14ac:dyDescent="0.2">
      <c r="A170" s="8">
        <v>5.9</v>
      </c>
      <c r="B170" s="5" t="s">
        <v>856</v>
      </c>
      <c r="C170" s="5" t="s">
        <v>863</v>
      </c>
      <c r="D170" s="6" t="s">
        <v>967</v>
      </c>
      <c r="E170" s="6" t="s">
        <v>103</v>
      </c>
      <c r="F170" s="6" t="s">
        <v>290</v>
      </c>
      <c r="G170" s="5" t="s">
        <v>23</v>
      </c>
      <c r="H170" s="5"/>
      <c r="I170" s="5"/>
      <c r="J170" s="54">
        <v>0</v>
      </c>
      <c r="K170" s="6" t="s">
        <v>291</v>
      </c>
      <c r="L170" s="6" t="s">
        <v>292</v>
      </c>
      <c r="M170" s="6" t="b">
        <v>0</v>
      </c>
      <c r="N170" s="6" t="s">
        <v>968</v>
      </c>
      <c r="O170" s="6" t="s">
        <v>243</v>
      </c>
      <c r="P170" s="6" t="s">
        <v>28</v>
      </c>
      <c r="Q170" s="6" t="s">
        <v>969</v>
      </c>
      <c r="R170" s="6" t="s">
        <v>871</v>
      </c>
      <c r="S170" s="5" t="s">
        <v>3323</v>
      </c>
      <c r="T170" s="10"/>
      <c r="U170" s="6"/>
    </row>
    <row r="171" spans="1:21" x14ac:dyDescent="0.2">
      <c r="A171" s="8">
        <v>5.9</v>
      </c>
      <c r="B171" s="5" t="s">
        <v>856</v>
      </c>
      <c r="C171" s="5" t="s">
        <v>863</v>
      </c>
      <c r="D171" s="6" t="s">
        <v>970</v>
      </c>
      <c r="E171" s="6" t="s">
        <v>971</v>
      </c>
      <c r="F171" s="6" t="s">
        <v>290</v>
      </c>
      <c r="G171" s="5" t="s">
        <v>23</v>
      </c>
      <c r="H171" s="5"/>
      <c r="I171" s="5"/>
      <c r="J171" s="54">
        <v>0</v>
      </c>
      <c r="K171" s="6" t="s">
        <v>972</v>
      </c>
      <c r="L171" s="6" t="s">
        <v>973</v>
      </c>
      <c r="M171" s="6" t="b">
        <v>0</v>
      </c>
      <c r="N171" s="6" t="s">
        <v>974</v>
      </c>
      <c r="O171" s="6" t="s">
        <v>975</v>
      </c>
      <c r="P171" s="6" t="s">
        <v>28</v>
      </c>
      <c r="Q171" s="6" t="s">
        <v>976</v>
      </c>
      <c r="R171" s="6" t="s">
        <v>871</v>
      </c>
      <c r="S171" s="5" t="s">
        <v>3323</v>
      </c>
      <c r="T171" s="10"/>
      <c r="U171" s="6"/>
    </row>
    <row r="172" spans="1:21" x14ac:dyDescent="0.2">
      <c r="A172" s="8">
        <v>5.89</v>
      </c>
      <c r="B172" s="5" t="s">
        <v>856</v>
      </c>
      <c r="C172" s="5" t="s">
        <v>863</v>
      </c>
      <c r="D172" s="6" t="s">
        <v>977</v>
      </c>
      <c r="E172" s="6" t="s">
        <v>978</v>
      </c>
      <c r="F172" s="6" t="s">
        <v>33</v>
      </c>
      <c r="G172" s="5" t="s">
        <v>23</v>
      </c>
      <c r="H172" s="5"/>
      <c r="I172" s="5"/>
      <c r="J172" s="54">
        <v>0</v>
      </c>
      <c r="K172" s="6" t="s">
        <v>979</v>
      </c>
      <c r="L172" s="6" t="s">
        <v>44</v>
      </c>
      <c r="M172" s="6" t="b">
        <v>0</v>
      </c>
      <c r="N172" s="6" t="s">
        <v>980</v>
      </c>
      <c r="O172" s="6" t="s">
        <v>981</v>
      </c>
      <c r="P172" s="6" t="s">
        <v>982</v>
      </c>
      <c r="Q172" s="6" t="s">
        <v>983</v>
      </c>
      <c r="R172" s="6" t="s">
        <v>871</v>
      </c>
      <c r="S172" s="5" t="s">
        <v>3323</v>
      </c>
      <c r="T172" s="10"/>
      <c r="U172" s="6"/>
    </row>
    <row r="173" spans="1:21" x14ac:dyDescent="0.2">
      <c r="A173" s="8">
        <v>5.88</v>
      </c>
      <c r="B173" s="5" t="s">
        <v>856</v>
      </c>
      <c r="C173" s="5" t="s">
        <v>863</v>
      </c>
      <c r="D173" s="6" t="s">
        <v>984</v>
      </c>
      <c r="E173" s="6" t="s">
        <v>193</v>
      </c>
      <c r="F173" s="6" t="s">
        <v>33</v>
      </c>
      <c r="G173" s="5" t="s">
        <v>23</v>
      </c>
      <c r="H173" s="5"/>
      <c r="I173" s="5"/>
      <c r="J173" s="54">
        <v>1000000</v>
      </c>
      <c r="K173" s="6" t="s">
        <v>985</v>
      </c>
      <c r="L173" s="6" t="s">
        <v>986</v>
      </c>
      <c r="M173" s="6" t="b">
        <v>0</v>
      </c>
      <c r="N173" s="6" t="s">
        <v>987</v>
      </c>
      <c r="O173" s="6" t="s">
        <v>988</v>
      </c>
      <c r="P173" s="6" t="s">
        <v>38</v>
      </c>
      <c r="Q173" s="6" t="s">
        <v>341</v>
      </c>
      <c r="R173" s="6" t="s">
        <v>871</v>
      </c>
      <c r="S173" s="5" t="s">
        <v>3323</v>
      </c>
      <c r="T173" s="10"/>
      <c r="U173" s="6"/>
    </row>
    <row r="174" spans="1:21" x14ac:dyDescent="0.2">
      <c r="A174" s="8">
        <v>5.88</v>
      </c>
      <c r="B174" s="5" t="s">
        <v>856</v>
      </c>
      <c r="C174" s="5" t="s">
        <v>863</v>
      </c>
      <c r="D174" s="6" t="s">
        <v>989</v>
      </c>
      <c r="E174" s="6" t="s">
        <v>103</v>
      </c>
      <c r="F174" s="6" t="s">
        <v>810</v>
      </c>
      <c r="G174" s="5" t="s">
        <v>23</v>
      </c>
      <c r="H174" s="5"/>
      <c r="I174" s="5"/>
      <c r="J174" s="54">
        <v>0</v>
      </c>
      <c r="K174" s="6" t="s">
        <v>990</v>
      </c>
      <c r="L174" s="6" t="s">
        <v>991</v>
      </c>
      <c r="M174" s="6" t="b">
        <v>0</v>
      </c>
      <c r="N174" s="6" t="s">
        <v>992</v>
      </c>
      <c r="O174" s="6" t="s">
        <v>993</v>
      </c>
      <c r="P174" s="6" t="s">
        <v>38</v>
      </c>
      <c r="Q174" s="6" t="s">
        <v>994</v>
      </c>
      <c r="R174" s="6" t="s">
        <v>871</v>
      </c>
      <c r="S174" s="5" t="s">
        <v>3323</v>
      </c>
      <c r="T174" s="10"/>
      <c r="U174" s="6"/>
    </row>
    <row r="175" spans="1:21" x14ac:dyDescent="0.2">
      <c r="A175" s="8">
        <v>5.88</v>
      </c>
      <c r="B175" s="5" t="s">
        <v>856</v>
      </c>
      <c r="C175" s="5" t="s">
        <v>101</v>
      </c>
      <c r="D175" s="6" t="s">
        <v>995</v>
      </c>
      <c r="E175" s="6" t="s">
        <v>103</v>
      </c>
      <c r="F175" s="6" t="s">
        <v>22</v>
      </c>
      <c r="G175" s="5" t="s">
        <v>104</v>
      </c>
      <c r="H175" s="5"/>
      <c r="I175" s="5"/>
      <c r="J175" s="54">
        <v>5000000</v>
      </c>
      <c r="K175" s="6" t="s">
        <v>996</v>
      </c>
      <c r="L175" s="6" t="s">
        <v>997</v>
      </c>
      <c r="M175" s="6" t="b">
        <v>0</v>
      </c>
      <c r="N175" s="6" t="s">
        <v>998</v>
      </c>
      <c r="O175" s="6" t="s">
        <v>243</v>
      </c>
      <c r="P175" s="6" t="s">
        <v>28</v>
      </c>
      <c r="Q175" s="6" t="s">
        <v>999</v>
      </c>
      <c r="R175" s="6" t="s">
        <v>110</v>
      </c>
      <c r="S175" s="5" t="s">
        <v>3323</v>
      </c>
      <c r="T175" s="10"/>
      <c r="U175" s="6"/>
    </row>
    <row r="176" spans="1:21" x14ac:dyDescent="0.2">
      <c r="A176" s="8">
        <v>5.83</v>
      </c>
      <c r="B176" s="5" t="s">
        <v>856</v>
      </c>
      <c r="C176" s="5" t="s">
        <v>863</v>
      </c>
      <c r="D176" s="6" t="s">
        <v>1006</v>
      </c>
      <c r="E176" s="6" t="s">
        <v>1007</v>
      </c>
      <c r="F176" s="6" t="s">
        <v>810</v>
      </c>
      <c r="G176" s="5" t="s">
        <v>23</v>
      </c>
      <c r="H176" s="5"/>
      <c r="I176" s="5"/>
      <c r="J176" s="54">
        <v>0</v>
      </c>
      <c r="K176" s="6" t="s">
        <v>1008</v>
      </c>
      <c r="L176" s="6" t="s">
        <v>1009</v>
      </c>
      <c r="M176" s="6" t="b">
        <v>0</v>
      </c>
      <c r="N176" s="6" t="s">
        <v>1010</v>
      </c>
      <c r="O176" s="6" t="s">
        <v>1011</v>
      </c>
      <c r="P176" s="6" t="s">
        <v>38</v>
      </c>
      <c r="Q176" s="6" t="s">
        <v>1012</v>
      </c>
      <c r="R176" s="6" t="s">
        <v>871</v>
      </c>
      <c r="S176" s="5" t="s">
        <v>3323</v>
      </c>
      <c r="T176" s="10"/>
      <c r="U176" s="6"/>
    </row>
    <row r="177" spans="1:21" x14ac:dyDescent="0.2">
      <c r="A177" s="8">
        <v>5.81</v>
      </c>
      <c r="B177" s="5" t="s">
        <v>856</v>
      </c>
      <c r="C177" s="5" t="s">
        <v>863</v>
      </c>
      <c r="D177" s="6" t="s">
        <v>1022</v>
      </c>
      <c r="E177" s="6" t="s">
        <v>1023</v>
      </c>
      <c r="F177" s="6" t="s">
        <v>73</v>
      </c>
      <c r="G177" s="5" t="s">
        <v>23</v>
      </c>
      <c r="H177" s="5"/>
      <c r="I177" s="5"/>
      <c r="J177" s="54">
        <v>0</v>
      </c>
      <c r="K177" s="6" t="s">
        <v>1024</v>
      </c>
      <c r="L177" s="6" t="s">
        <v>1025</v>
      </c>
      <c r="M177" s="6" t="b">
        <v>0</v>
      </c>
      <c r="N177" s="6" t="s">
        <v>1026</v>
      </c>
      <c r="O177" s="6" t="s">
        <v>1027</v>
      </c>
      <c r="P177" s="6" t="s">
        <v>38</v>
      </c>
      <c r="Q177" s="6" t="s">
        <v>1028</v>
      </c>
      <c r="R177" s="6" t="s">
        <v>871</v>
      </c>
      <c r="S177" s="5" t="s">
        <v>3323</v>
      </c>
      <c r="T177" s="10"/>
      <c r="U177" s="6"/>
    </row>
    <row r="178" spans="1:21" x14ac:dyDescent="0.2">
      <c r="A178" s="8">
        <v>5.8</v>
      </c>
      <c r="B178" s="5" t="s">
        <v>856</v>
      </c>
      <c r="C178" s="5" t="s">
        <v>101</v>
      </c>
      <c r="D178" s="6" t="s">
        <v>1036</v>
      </c>
      <c r="E178" s="6" t="s">
        <v>1037</v>
      </c>
      <c r="F178" s="6" t="s">
        <v>73</v>
      </c>
      <c r="G178" s="5" t="s">
        <v>104</v>
      </c>
      <c r="H178" s="5"/>
      <c r="I178" s="5"/>
      <c r="J178" s="54">
        <v>500000</v>
      </c>
      <c r="K178" s="6" t="s">
        <v>1038</v>
      </c>
      <c r="L178" s="6" t="s">
        <v>59</v>
      </c>
      <c r="M178" s="6" t="b">
        <v>0</v>
      </c>
      <c r="N178" s="6" t="s">
        <v>210</v>
      </c>
      <c r="O178" s="6" t="s">
        <v>1039</v>
      </c>
      <c r="P178" s="6" t="s">
        <v>92</v>
      </c>
      <c r="Q178" s="6" t="s">
        <v>1040</v>
      </c>
      <c r="R178" s="6" t="s">
        <v>110</v>
      </c>
      <c r="S178" s="5" t="s">
        <v>3323</v>
      </c>
      <c r="T178" s="10"/>
      <c r="U178" s="6"/>
    </row>
    <row r="179" spans="1:21" x14ac:dyDescent="0.2">
      <c r="A179" s="8">
        <v>5.79</v>
      </c>
      <c r="B179" s="5" t="s">
        <v>856</v>
      </c>
      <c r="C179" s="5" t="s">
        <v>863</v>
      </c>
      <c r="D179" s="6" t="s">
        <v>1041</v>
      </c>
      <c r="E179" s="6" t="s">
        <v>1042</v>
      </c>
      <c r="F179" s="6" t="s">
        <v>73</v>
      </c>
      <c r="G179" s="5" t="s">
        <v>23</v>
      </c>
      <c r="H179" s="5"/>
      <c r="I179" s="5"/>
      <c r="J179" s="54">
        <v>0</v>
      </c>
      <c r="K179" s="6" t="s">
        <v>1043</v>
      </c>
      <c r="L179" s="6" t="s">
        <v>1044</v>
      </c>
      <c r="M179" s="6" t="b">
        <v>0</v>
      </c>
      <c r="N179" s="6" t="s">
        <v>1045</v>
      </c>
      <c r="O179" s="6" t="s">
        <v>1046</v>
      </c>
      <c r="P179" s="6"/>
      <c r="Q179" s="6" t="s">
        <v>1047</v>
      </c>
      <c r="R179" s="6" t="s">
        <v>871</v>
      </c>
      <c r="S179" s="5" t="s">
        <v>3323</v>
      </c>
      <c r="T179" s="10"/>
      <c r="U179" s="6"/>
    </row>
    <row r="180" spans="1:21" x14ac:dyDescent="0.2">
      <c r="A180" s="8">
        <v>5.79</v>
      </c>
      <c r="B180" s="5" t="s">
        <v>856</v>
      </c>
      <c r="C180" s="5" t="s">
        <v>863</v>
      </c>
      <c r="D180" s="6" t="s">
        <v>1048</v>
      </c>
      <c r="E180" s="6" t="s">
        <v>103</v>
      </c>
      <c r="F180" s="6" t="s">
        <v>22</v>
      </c>
      <c r="G180" s="5" t="s">
        <v>23</v>
      </c>
      <c r="H180" s="5"/>
      <c r="I180" s="5"/>
      <c r="J180" s="54">
        <v>10000</v>
      </c>
      <c r="K180" s="6" t="s">
        <v>1049</v>
      </c>
      <c r="L180" s="6" t="s">
        <v>1050</v>
      </c>
      <c r="M180" s="6" t="b">
        <v>0</v>
      </c>
      <c r="N180" s="6" t="s">
        <v>1051</v>
      </c>
      <c r="O180" s="6" t="s">
        <v>1052</v>
      </c>
      <c r="P180" s="6" t="s">
        <v>28</v>
      </c>
      <c r="Q180" s="6" t="s">
        <v>1053</v>
      </c>
      <c r="R180" s="6" t="s">
        <v>871</v>
      </c>
      <c r="S180" s="5" t="s">
        <v>3323</v>
      </c>
      <c r="T180" s="10"/>
      <c r="U180" s="6"/>
    </row>
    <row r="181" spans="1:21" x14ac:dyDescent="0.2">
      <c r="A181" s="8">
        <v>5.77</v>
      </c>
      <c r="B181" s="5" t="s">
        <v>856</v>
      </c>
      <c r="C181" s="5" t="s">
        <v>863</v>
      </c>
      <c r="D181" s="6" t="s">
        <v>1061</v>
      </c>
      <c r="E181" s="6" t="s">
        <v>103</v>
      </c>
      <c r="F181" s="6" t="s">
        <v>290</v>
      </c>
      <c r="G181" s="5" t="s">
        <v>23</v>
      </c>
      <c r="H181" s="5"/>
      <c r="I181" s="5"/>
      <c r="J181" s="54">
        <v>0</v>
      </c>
      <c r="K181" s="6" t="s">
        <v>291</v>
      </c>
      <c r="L181" s="6" t="s">
        <v>292</v>
      </c>
      <c r="M181" s="6" t="b">
        <v>0</v>
      </c>
      <c r="N181" s="6" t="s">
        <v>1062</v>
      </c>
      <c r="O181" s="6" t="s">
        <v>294</v>
      </c>
      <c r="P181" s="6" t="s">
        <v>28</v>
      </c>
      <c r="Q181" s="6" t="s">
        <v>1063</v>
      </c>
      <c r="R181" s="6" t="s">
        <v>871</v>
      </c>
      <c r="S181" s="5" t="s">
        <v>3323</v>
      </c>
      <c r="T181" s="10"/>
      <c r="U181" s="6"/>
    </row>
    <row r="182" spans="1:21" x14ac:dyDescent="0.2">
      <c r="A182" s="8">
        <v>5.76</v>
      </c>
      <c r="B182" s="5" t="s">
        <v>856</v>
      </c>
      <c r="C182" s="5" t="s">
        <v>863</v>
      </c>
      <c r="D182" s="6" t="s">
        <v>1070</v>
      </c>
      <c r="E182" s="6" t="s">
        <v>103</v>
      </c>
      <c r="F182" s="6" t="s">
        <v>290</v>
      </c>
      <c r="G182" s="5" t="s">
        <v>23</v>
      </c>
      <c r="H182" s="5"/>
      <c r="I182" s="5"/>
      <c r="J182" s="54">
        <v>0</v>
      </c>
      <c r="K182" s="6" t="s">
        <v>291</v>
      </c>
      <c r="L182" s="6" t="s">
        <v>853</v>
      </c>
      <c r="M182" s="6" t="b">
        <v>0</v>
      </c>
      <c r="N182" s="6" t="s">
        <v>1071</v>
      </c>
      <c r="O182" s="6" t="s">
        <v>243</v>
      </c>
      <c r="P182" s="6" t="s">
        <v>28</v>
      </c>
      <c r="Q182" s="6" t="s">
        <v>1072</v>
      </c>
      <c r="R182" s="6" t="s">
        <v>871</v>
      </c>
      <c r="S182" s="5" t="s">
        <v>3323</v>
      </c>
      <c r="T182" s="10"/>
      <c r="U182" s="6"/>
    </row>
    <row r="183" spans="1:21" x14ac:dyDescent="0.2">
      <c r="A183" s="8">
        <v>5.76</v>
      </c>
      <c r="B183" s="5" t="s">
        <v>856</v>
      </c>
      <c r="C183" s="5" t="s">
        <v>863</v>
      </c>
      <c r="D183" s="6" t="s">
        <v>1073</v>
      </c>
      <c r="E183" s="6" t="s">
        <v>103</v>
      </c>
      <c r="F183" s="6" t="s">
        <v>290</v>
      </c>
      <c r="G183" s="5" t="s">
        <v>23</v>
      </c>
      <c r="H183" s="5"/>
      <c r="I183" s="5"/>
      <c r="J183" s="54">
        <v>0</v>
      </c>
      <c r="K183" s="6" t="s">
        <v>291</v>
      </c>
      <c r="L183" s="6" t="s">
        <v>1074</v>
      </c>
      <c r="M183" s="6" t="b">
        <v>0</v>
      </c>
      <c r="N183" s="6" t="s">
        <v>1075</v>
      </c>
      <c r="O183" s="6" t="s">
        <v>243</v>
      </c>
      <c r="P183" s="6" t="s">
        <v>28</v>
      </c>
      <c r="Q183" s="6" t="s">
        <v>960</v>
      </c>
      <c r="R183" s="6" t="s">
        <v>871</v>
      </c>
      <c r="S183" s="5" t="s">
        <v>3323</v>
      </c>
      <c r="T183" s="10"/>
      <c r="U183" s="6"/>
    </row>
    <row r="184" spans="1:21" x14ac:dyDescent="0.2">
      <c r="A184" s="8">
        <v>5.74</v>
      </c>
      <c r="B184" s="5" t="s">
        <v>856</v>
      </c>
      <c r="C184" s="5" t="s">
        <v>863</v>
      </c>
      <c r="D184" s="6" t="s">
        <v>1076</v>
      </c>
      <c r="E184" s="6" t="s">
        <v>1077</v>
      </c>
      <c r="F184" s="6" t="s">
        <v>73</v>
      </c>
      <c r="G184" s="5" t="s">
        <v>23</v>
      </c>
      <c r="H184" s="5"/>
      <c r="I184" s="5"/>
      <c r="J184" s="54">
        <v>175000</v>
      </c>
      <c r="K184" s="6" t="s">
        <v>1078</v>
      </c>
      <c r="L184" s="6" t="s">
        <v>1079</v>
      </c>
      <c r="M184" s="6" t="b">
        <v>0</v>
      </c>
      <c r="N184" s="6" t="s">
        <v>1080</v>
      </c>
      <c r="O184" s="6" t="s">
        <v>1081</v>
      </c>
      <c r="P184" s="6"/>
      <c r="Q184" s="6" t="s">
        <v>1082</v>
      </c>
      <c r="R184" s="6" t="s">
        <v>871</v>
      </c>
      <c r="S184" s="5" t="s">
        <v>3323</v>
      </c>
      <c r="T184" s="10"/>
      <c r="U184" s="6"/>
    </row>
    <row r="185" spans="1:21" x14ac:dyDescent="0.2">
      <c r="A185" s="8">
        <v>5.72</v>
      </c>
      <c r="B185" s="5" t="s">
        <v>856</v>
      </c>
      <c r="C185" s="5" t="s">
        <v>863</v>
      </c>
      <c r="D185" s="6" t="s">
        <v>1083</v>
      </c>
      <c r="E185" s="6" t="s">
        <v>1084</v>
      </c>
      <c r="F185" s="6" t="s">
        <v>810</v>
      </c>
      <c r="G185" s="5" t="s">
        <v>23</v>
      </c>
      <c r="H185" s="5"/>
      <c r="I185" s="5"/>
      <c r="J185" s="54">
        <v>0</v>
      </c>
      <c r="K185" s="6" t="s">
        <v>1085</v>
      </c>
      <c r="L185" s="6" t="s">
        <v>928</v>
      </c>
      <c r="M185" s="6" t="b">
        <v>0</v>
      </c>
      <c r="N185" s="6" t="s">
        <v>1086</v>
      </c>
      <c r="O185" s="6" t="s">
        <v>243</v>
      </c>
      <c r="P185" s="6" t="s">
        <v>38</v>
      </c>
      <c r="Q185" s="6" t="s">
        <v>1087</v>
      </c>
      <c r="R185" s="6" t="s">
        <v>871</v>
      </c>
      <c r="S185" s="5" t="s">
        <v>3323</v>
      </c>
      <c r="T185" s="10"/>
      <c r="U185" s="6"/>
    </row>
    <row r="186" spans="1:21" x14ac:dyDescent="0.2">
      <c r="A186" s="8">
        <v>5.72</v>
      </c>
      <c r="B186" s="5" t="s">
        <v>856</v>
      </c>
      <c r="C186" s="5" t="s">
        <v>863</v>
      </c>
      <c r="D186" s="6" t="s">
        <v>1088</v>
      </c>
      <c r="E186" s="6" t="s">
        <v>1089</v>
      </c>
      <c r="F186" s="6" t="s">
        <v>33</v>
      </c>
      <c r="G186" s="5" t="s">
        <v>23</v>
      </c>
      <c r="H186" s="5"/>
      <c r="I186" s="5"/>
      <c r="J186" s="54">
        <v>0</v>
      </c>
      <c r="K186" s="6" t="s">
        <v>1090</v>
      </c>
      <c r="L186" s="6" t="s">
        <v>549</v>
      </c>
      <c r="M186" s="6" t="b">
        <v>0</v>
      </c>
      <c r="N186" s="6" t="s">
        <v>1091</v>
      </c>
      <c r="O186" s="6" t="s">
        <v>1092</v>
      </c>
      <c r="P186" s="6"/>
      <c r="Q186" s="6" t="s">
        <v>1093</v>
      </c>
      <c r="R186" s="6" t="s">
        <v>871</v>
      </c>
      <c r="S186" s="5" t="s">
        <v>3323</v>
      </c>
      <c r="T186" s="10"/>
      <c r="U186" s="6"/>
    </row>
    <row r="187" spans="1:21" x14ac:dyDescent="0.2">
      <c r="A187" s="8">
        <v>5.72</v>
      </c>
      <c r="B187" s="5" t="s">
        <v>856</v>
      </c>
      <c r="C187" s="5" t="s">
        <v>863</v>
      </c>
      <c r="D187" s="6" t="s">
        <v>1094</v>
      </c>
      <c r="E187" s="6" t="s">
        <v>1095</v>
      </c>
      <c r="F187" s="6" t="s">
        <v>810</v>
      </c>
      <c r="G187" s="5" t="s">
        <v>23</v>
      </c>
      <c r="H187" s="5"/>
      <c r="I187" s="5"/>
      <c r="J187" s="54">
        <v>0</v>
      </c>
      <c r="K187" s="6" t="s">
        <v>1096</v>
      </c>
      <c r="L187" s="6" t="s">
        <v>1097</v>
      </c>
      <c r="M187" s="6" t="b">
        <v>0</v>
      </c>
      <c r="N187" s="6" t="s">
        <v>1098</v>
      </c>
      <c r="O187" s="6" t="s">
        <v>1099</v>
      </c>
      <c r="P187" s="6" t="s">
        <v>28</v>
      </c>
      <c r="Q187" s="6" t="s">
        <v>994</v>
      </c>
      <c r="R187" s="6" t="s">
        <v>871</v>
      </c>
      <c r="S187" s="5" t="s">
        <v>3323</v>
      </c>
      <c r="T187" s="10"/>
      <c r="U187" s="6"/>
    </row>
    <row r="188" spans="1:21" x14ac:dyDescent="0.2">
      <c r="A188" s="8">
        <v>5.71</v>
      </c>
      <c r="B188" s="5" t="s">
        <v>856</v>
      </c>
      <c r="C188" s="5" t="s">
        <v>863</v>
      </c>
      <c r="D188" s="6" t="s">
        <v>1106</v>
      </c>
      <c r="E188" s="6" t="s">
        <v>103</v>
      </c>
      <c r="F188" s="6" t="s">
        <v>290</v>
      </c>
      <c r="G188" s="5" t="s">
        <v>23</v>
      </c>
      <c r="H188" s="5"/>
      <c r="I188" s="5"/>
      <c r="J188" s="54">
        <v>0</v>
      </c>
      <c r="K188" s="6" t="s">
        <v>291</v>
      </c>
      <c r="L188" s="6" t="s">
        <v>1107</v>
      </c>
      <c r="M188" s="6" t="b">
        <v>0</v>
      </c>
      <c r="N188" s="6" t="s">
        <v>1108</v>
      </c>
      <c r="O188" s="6" t="s">
        <v>243</v>
      </c>
      <c r="P188" s="6" t="s">
        <v>28</v>
      </c>
      <c r="Q188" s="6" t="s">
        <v>1109</v>
      </c>
      <c r="R188" s="6" t="s">
        <v>871</v>
      </c>
      <c r="S188" s="5" t="s">
        <v>3323</v>
      </c>
      <c r="T188" s="10"/>
      <c r="U188" s="6"/>
    </row>
    <row r="189" spans="1:21" x14ac:dyDescent="0.2">
      <c r="A189" s="8">
        <v>5.7</v>
      </c>
      <c r="B189" s="5" t="s">
        <v>856</v>
      </c>
      <c r="C189" s="5" t="s">
        <v>101</v>
      </c>
      <c r="D189" s="6" t="s">
        <v>1110</v>
      </c>
      <c r="E189" s="6" t="s">
        <v>1111</v>
      </c>
      <c r="F189" s="6" t="s">
        <v>22</v>
      </c>
      <c r="G189" s="5" t="s">
        <v>104</v>
      </c>
      <c r="H189" s="5"/>
      <c r="I189" s="5"/>
      <c r="J189" s="54">
        <v>400000</v>
      </c>
      <c r="K189" s="6" t="s">
        <v>105</v>
      </c>
      <c r="L189" s="6" t="s">
        <v>1112</v>
      </c>
      <c r="M189" s="6" t="b">
        <v>0</v>
      </c>
      <c r="N189" s="6" t="s">
        <v>1113</v>
      </c>
      <c r="O189" s="6" t="s">
        <v>1114</v>
      </c>
      <c r="P189" s="6" t="s">
        <v>38</v>
      </c>
      <c r="Q189" s="6" t="s">
        <v>1115</v>
      </c>
      <c r="R189" s="6" t="s">
        <v>110</v>
      </c>
      <c r="S189" s="5" t="s">
        <v>3323</v>
      </c>
      <c r="T189" s="10"/>
      <c r="U189" s="6"/>
    </row>
    <row r="190" spans="1:21" x14ac:dyDescent="0.2">
      <c r="A190" s="8">
        <v>5.69</v>
      </c>
      <c r="B190" s="5" t="s">
        <v>856</v>
      </c>
      <c r="C190" s="5" t="s">
        <v>863</v>
      </c>
      <c r="D190" s="6" t="s">
        <v>1116</v>
      </c>
      <c r="E190" s="6" t="s">
        <v>1117</v>
      </c>
      <c r="F190" s="6" t="s">
        <v>33</v>
      </c>
      <c r="G190" s="5" t="s">
        <v>23</v>
      </c>
      <c r="H190" s="5"/>
      <c r="I190" s="5"/>
      <c r="J190" s="54">
        <v>109000</v>
      </c>
      <c r="K190" s="6" t="s">
        <v>1118</v>
      </c>
      <c r="L190" s="6" t="s">
        <v>525</v>
      </c>
      <c r="M190" s="6" t="b">
        <v>0</v>
      </c>
      <c r="N190" s="6" t="s">
        <v>1119</v>
      </c>
      <c r="O190" s="6" t="s">
        <v>1120</v>
      </c>
      <c r="P190" s="6" t="s">
        <v>38</v>
      </c>
      <c r="Q190" s="6" t="s">
        <v>1121</v>
      </c>
      <c r="R190" s="6" t="s">
        <v>871</v>
      </c>
      <c r="S190" s="5" t="s">
        <v>3323</v>
      </c>
      <c r="T190" s="10"/>
      <c r="U190" s="6"/>
    </row>
    <row r="191" spans="1:21" x14ac:dyDescent="0.2">
      <c r="A191" s="8">
        <v>5.69</v>
      </c>
      <c r="B191" s="5" t="s">
        <v>856</v>
      </c>
      <c r="C191" s="5" t="s">
        <v>863</v>
      </c>
      <c r="D191" s="6" t="s">
        <v>1122</v>
      </c>
      <c r="E191" s="6" t="s">
        <v>1123</v>
      </c>
      <c r="F191" s="6" t="s">
        <v>810</v>
      </c>
      <c r="G191" s="5" t="s">
        <v>23</v>
      </c>
      <c r="H191" s="5"/>
      <c r="I191" s="5"/>
      <c r="J191" s="54">
        <v>0</v>
      </c>
      <c r="K191" s="6" t="s">
        <v>1124</v>
      </c>
      <c r="L191" s="6" t="s">
        <v>1124</v>
      </c>
      <c r="M191" s="6" t="b">
        <v>0</v>
      </c>
      <c r="N191" s="6" t="s">
        <v>1125</v>
      </c>
      <c r="O191" s="6" t="s">
        <v>1124</v>
      </c>
      <c r="P191" s="6"/>
      <c r="Q191" s="6" t="s">
        <v>1126</v>
      </c>
      <c r="R191" s="6" t="s">
        <v>871</v>
      </c>
      <c r="S191" s="5" t="s">
        <v>3323</v>
      </c>
      <c r="T191" s="10"/>
      <c r="U191" s="6"/>
    </row>
    <row r="192" spans="1:21" x14ac:dyDescent="0.2">
      <c r="A192" s="8">
        <v>5.69</v>
      </c>
      <c r="B192" s="5" t="s">
        <v>856</v>
      </c>
      <c r="C192" s="5" t="s">
        <v>863</v>
      </c>
      <c r="D192" s="6" t="s">
        <v>1127</v>
      </c>
      <c r="E192" s="6" t="s">
        <v>1128</v>
      </c>
      <c r="F192" s="6" t="s">
        <v>73</v>
      </c>
      <c r="G192" s="5" t="s">
        <v>23</v>
      </c>
      <c r="H192" s="5"/>
      <c r="I192" s="5"/>
      <c r="J192" s="54">
        <v>0</v>
      </c>
      <c r="K192" s="6" t="s">
        <v>1129</v>
      </c>
      <c r="L192" s="6" t="s">
        <v>1130</v>
      </c>
      <c r="M192" s="6" t="b">
        <v>0</v>
      </c>
      <c r="N192" s="6" t="s">
        <v>1131</v>
      </c>
      <c r="O192" s="6" t="s">
        <v>1132</v>
      </c>
      <c r="P192" s="6" t="s">
        <v>28</v>
      </c>
      <c r="Q192" s="6" t="s">
        <v>176</v>
      </c>
      <c r="R192" s="6" t="s">
        <v>871</v>
      </c>
      <c r="S192" s="5" t="s">
        <v>3323</v>
      </c>
      <c r="T192" s="10"/>
      <c r="U192" s="6"/>
    </row>
    <row r="193" spans="1:21" x14ac:dyDescent="0.2">
      <c r="A193" s="8">
        <v>5.67</v>
      </c>
      <c r="B193" s="5" t="s">
        <v>856</v>
      </c>
      <c r="C193" s="5" t="s">
        <v>863</v>
      </c>
      <c r="D193" s="6" t="s">
        <v>1133</v>
      </c>
      <c r="E193" s="6" t="s">
        <v>730</v>
      </c>
      <c r="F193" s="6" t="s">
        <v>33</v>
      </c>
      <c r="G193" s="5" t="s">
        <v>23</v>
      </c>
      <c r="H193" s="5"/>
      <c r="I193" s="5"/>
      <c r="J193" s="54">
        <v>0</v>
      </c>
      <c r="K193" s="6" t="s">
        <v>1134</v>
      </c>
      <c r="L193" s="6" t="s">
        <v>1135</v>
      </c>
      <c r="M193" s="6" t="b">
        <v>0</v>
      </c>
      <c r="N193" s="6" t="s">
        <v>1136</v>
      </c>
      <c r="O193" s="6" t="s">
        <v>1137</v>
      </c>
      <c r="P193" s="6" t="s">
        <v>38</v>
      </c>
      <c r="Q193" s="6" t="s">
        <v>1138</v>
      </c>
      <c r="R193" s="6" t="s">
        <v>871</v>
      </c>
      <c r="S193" s="5" t="s">
        <v>3323</v>
      </c>
      <c r="T193" s="10"/>
      <c r="U193" s="6"/>
    </row>
    <row r="194" spans="1:21" x14ac:dyDescent="0.2">
      <c r="A194" s="8">
        <v>5.66</v>
      </c>
      <c r="B194" s="5" t="s">
        <v>856</v>
      </c>
      <c r="C194" s="5" t="s">
        <v>863</v>
      </c>
      <c r="D194" s="6" t="s">
        <v>1139</v>
      </c>
      <c r="E194" s="6" t="s">
        <v>1140</v>
      </c>
      <c r="F194" s="6" t="s">
        <v>73</v>
      </c>
      <c r="G194" s="5" t="s">
        <v>23</v>
      </c>
      <c r="H194" s="5"/>
      <c r="I194" s="5"/>
      <c r="J194" s="54">
        <v>0</v>
      </c>
      <c r="K194" s="6" t="s">
        <v>1141</v>
      </c>
      <c r="L194" s="6" t="s">
        <v>1142</v>
      </c>
      <c r="M194" s="6" t="b">
        <v>0</v>
      </c>
      <c r="N194" s="6" t="s">
        <v>818</v>
      </c>
      <c r="O194" s="6" t="s">
        <v>1143</v>
      </c>
      <c r="P194" s="6" t="s">
        <v>38</v>
      </c>
      <c r="Q194" s="6" t="s">
        <v>1144</v>
      </c>
      <c r="R194" s="6" t="s">
        <v>871</v>
      </c>
      <c r="S194" s="5" t="s">
        <v>3323</v>
      </c>
      <c r="T194" s="10"/>
      <c r="U194" s="6"/>
    </row>
    <row r="195" spans="1:21" x14ac:dyDescent="0.2">
      <c r="A195" s="8">
        <v>5.65</v>
      </c>
      <c r="B195" s="5" t="s">
        <v>856</v>
      </c>
      <c r="C195" s="5" t="s">
        <v>863</v>
      </c>
      <c r="D195" s="6" t="s">
        <v>1145</v>
      </c>
      <c r="E195" s="6" t="s">
        <v>1146</v>
      </c>
      <c r="F195" s="6" t="s">
        <v>427</v>
      </c>
      <c r="G195" s="5" t="s">
        <v>23</v>
      </c>
      <c r="H195" s="5"/>
      <c r="I195" s="5"/>
      <c r="J195" s="54">
        <v>0</v>
      </c>
      <c r="K195" s="6" t="s">
        <v>1147</v>
      </c>
      <c r="L195" s="6" t="s">
        <v>1148</v>
      </c>
      <c r="M195" s="6" t="b">
        <v>0</v>
      </c>
      <c r="N195" s="6" t="s">
        <v>1149</v>
      </c>
      <c r="O195" s="6" t="s">
        <v>1150</v>
      </c>
      <c r="P195" s="6" t="s">
        <v>38</v>
      </c>
      <c r="Q195" s="6" t="s">
        <v>1151</v>
      </c>
      <c r="R195" s="6" t="s">
        <v>871</v>
      </c>
      <c r="S195" s="5" t="s">
        <v>3323</v>
      </c>
      <c r="T195" s="10"/>
      <c r="U195" s="6"/>
    </row>
    <row r="196" spans="1:21" hidden="1" x14ac:dyDescent="0.2">
      <c r="A196">
        <v>5.57</v>
      </c>
      <c r="B196" t="s">
        <v>514</v>
      </c>
      <c r="C196" t="s">
        <v>863</v>
      </c>
      <c r="D196" t="s">
        <v>1229</v>
      </c>
      <c r="E196" t="s">
        <v>103</v>
      </c>
      <c r="F196" t="s">
        <v>290</v>
      </c>
      <c r="G196" t="s">
        <v>23</v>
      </c>
      <c r="J196">
        <v>0</v>
      </c>
      <c r="K196" t="s">
        <v>291</v>
      </c>
      <c r="L196" t="s">
        <v>292</v>
      </c>
      <c r="M196" t="b">
        <v>0</v>
      </c>
      <c r="N196" t="s">
        <v>800</v>
      </c>
      <c r="O196" t="s">
        <v>243</v>
      </c>
      <c r="P196" t="s">
        <v>1230</v>
      </c>
      <c r="Q196" t="s">
        <v>1231</v>
      </c>
      <c r="R196" t="s">
        <v>871</v>
      </c>
      <c r="S196" t="s">
        <v>3323</v>
      </c>
      <c r="T196" s="2"/>
    </row>
    <row r="197" spans="1:21" x14ac:dyDescent="0.2">
      <c r="A197" s="8">
        <v>5.64</v>
      </c>
      <c r="B197" s="5" t="s">
        <v>856</v>
      </c>
      <c r="C197" s="5" t="s">
        <v>863</v>
      </c>
      <c r="D197" s="6" t="s">
        <v>1152</v>
      </c>
      <c r="E197" s="6" t="s">
        <v>1153</v>
      </c>
      <c r="F197" s="6" t="s">
        <v>42</v>
      </c>
      <c r="G197" s="5" t="s">
        <v>23</v>
      </c>
      <c r="H197" s="5"/>
      <c r="I197" s="5"/>
      <c r="J197" s="54">
        <v>0</v>
      </c>
      <c r="K197" s="6" t="s">
        <v>1154</v>
      </c>
      <c r="L197" s="6" t="s">
        <v>1155</v>
      </c>
      <c r="M197" s="6" t="b">
        <v>0</v>
      </c>
      <c r="N197" s="6" t="s">
        <v>1156</v>
      </c>
      <c r="O197" s="6" t="s">
        <v>1157</v>
      </c>
      <c r="P197" s="6" t="s">
        <v>38</v>
      </c>
      <c r="Q197" s="6" t="s">
        <v>1158</v>
      </c>
      <c r="R197" s="6" t="s">
        <v>871</v>
      </c>
      <c r="S197" s="5" t="s">
        <v>3323</v>
      </c>
      <c r="T197" s="10"/>
      <c r="U197" s="6"/>
    </row>
    <row r="198" spans="1:21" hidden="1" x14ac:dyDescent="0.2">
      <c r="A198">
        <v>5.56</v>
      </c>
      <c r="B198" t="s">
        <v>514</v>
      </c>
      <c r="C198" t="s">
        <v>19</v>
      </c>
      <c r="D198" t="s">
        <v>1236</v>
      </c>
      <c r="E198" t="s">
        <v>822</v>
      </c>
      <c r="F198" t="s">
        <v>120</v>
      </c>
      <c r="G198" t="s">
        <v>23</v>
      </c>
      <c r="H198" s="1">
        <v>46248</v>
      </c>
      <c r="I198">
        <v>0</v>
      </c>
      <c r="J198">
        <v>0</v>
      </c>
      <c r="K198" t="s">
        <v>1237</v>
      </c>
      <c r="L198" t="s">
        <v>1238</v>
      </c>
      <c r="M198" t="b">
        <v>0</v>
      </c>
      <c r="N198" t="s">
        <v>1239</v>
      </c>
      <c r="O198" t="s">
        <v>1240</v>
      </c>
      <c r="P198" t="s">
        <v>1241</v>
      </c>
      <c r="Q198" t="s">
        <v>1242</v>
      </c>
      <c r="R198" t="s">
        <v>1243</v>
      </c>
      <c r="S198" t="s">
        <v>3323</v>
      </c>
      <c r="T198" s="2"/>
    </row>
    <row r="199" spans="1:21" x14ac:dyDescent="0.2">
      <c r="A199" s="8">
        <v>5.64</v>
      </c>
      <c r="B199" s="5" t="s">
        <v>856</v>
      </c>
      <c r="C199" s="5" t="s">
        <v>863</v>
      </c>
      <c r="D199" s="6" t="s">
        <v>1159</v>
      </c>
      <c r="E199" s="6" t="s">
        <v>1160</v>
      </c>
      <c r="F199" s="6" t="s">
        <v>33</v>
      </c>
      <c r="G199" s="5" t="s">
        <v>23</v>
      </c>
      <c r="H199" s="5"/>
      <c r="I199" s="5"/>
      <c r="J199" s="54">
        <v>0</v>
      </c>
      <c r="K199" s="6" t="s">
        <v>1161</v>
      </c>
      <c r="L199" s="6" t="s">
        <v>1162</v>
      </c>
      <c r="M199" s="6" t="b">
        <v>0</v>
      </c>
      <c r="N199" s="6" t="s">
        <v>1163</v>
      </c>
      <c r="O199" s="6" t="s">
        <v>1164</v>
      </c>
      <c r="P199" s="6" t="s">
        <v>28</v>
      </c>
      <c r="Q199" s="6" t="s">
        <v>39</v>
      </c>
      <c r="R199" s="6" t="s">
        <v>871</v>
      </c>
      <c r="S199" s="5" t="s">
        <v>3323</v>
      </c>
      <c r="T199" s="10"/>
      <c r="U199" s="6"/>
    </row>
    <row r="200" spans="1:21" x14ac:dyDescent="0.2">
      <c r="A200" s="8">
        <v>5.64</v>
      </c>
      <c r="B200" s="5" t="s">
        <v>856</v>
      </c>
      <c r="C200" s="5" t="s">
        <v>863</v>
      </c>
      <c r="D200" s="6" t="s">
        <v>1165</v>
      </c>
      <c r="E200" s="6" t="s">
        <v>1166</v>
      </c>
      <c r="F200" s="6" t="s">
        <v>427</v>
      </c>
      <c r="G200" s="5" t="s">
        <v>23</v>
      </c>
      <c r="H200" s="5"/>
      <c r="I200" s="5"/>
      <c r="J200" s="54">
        <v>0</v>
      </c>
      <c r="K200" s="6" t="s">
        <v>1167</v>
      </c>
      <c r="L200" s="6" t="s">
        <v>1168</v>
      </c>
      <c r="M200" s="6" t="b">
        <v>0</v>
      </c>
      <c r="N200" s="6" t="s">
        <v>1169</v>
      </c>
      <c r="O200" s="6" t="s">
        <v>1170</v>
      </c>
      <c r="P200" s="6" t="s">
        <v>28</v>
      </c>
      <c r="Q200" s="6" t="s">
        <v>1171</v>
      </c>
      <c r="R200" s="6" t="s">
        <v>871</v>
      </c>
      <c r="S200" s="5" t="s">
        <v>3323</v>
      </c>
      <c r="T200" s="10"/>
      <c r="U200" s="6"/>
    </row>
    <row r="201" spans="1:21" hidden="1" x14ac:dyDescent="0.2">
      <c r="A201">
        <v>5.56</v>
      </c>
      <c r="B201" t="s">
        <v>514</v>
      </c>
      <c r="C201" t="s">
        <v>19</v>
      </c>
      <c r="D201" t="s">
        <v>1255</v>
      </c>
      <c r="E201" t="s">
        <v>1256</v>
      </c>
      <c r="F201" t="s">
        <v>73</v>
      </c>
      <c r="G201" t="s">
        <v>23</v>
      </c>
      <c r="H201" s="1">
        <v>46264</v>
      </c>
      <c r="I201">
        <v>16</v>
      </c>
      <c r="J201">
        <v>0</v>
      </c>
      <c r="K201" t="s">
        <v>1257</v>
      </c>
      <c r="L201" t="s">
        <v>1258</v>
      </c>
      <c r="M201" t="b">
        <v>0</v>
      </c>
      <c r="N201" t="s">
        <v>1259</v>
      </c>
      <c r="O201" t="s">
        <v>1260</v>
      </c>
      <c r="P201" t="s">
        <v>1261</v>
      </c>
      <c r="Q201" t="s">
        <v>39</v>
      </c>
      <c r="R201" t="s">
        <v>225</v>
      </c>
      <c r="S201" t="s">
        <v>3323</v>
      </c>
      <c r="T201" s="2"/>
    </row>
    <row r="202" spans="1:21" x14ac:dyDescent="0.2">
      <c r="A202" s="8">
        <v>5.62</v>
      </c>
      <c r="B202" s="5" t="s">
        <v>856</v>
      </c>
      <c r="C202" s="5" t="s">
        <v>101</v>
      </c>
      <c r="D202" s="6" t="s">
        <v>1172</v>
      </c>
      <c r="E202" s="6" t="s">
        <v>103</v>
      </c>
      <c r="F202" s="6" t="s">
        <v>22</v>
      </c>
      <c r="G202" s="5" t="s">
        <v>104</v>
      </c>
      <c r="H202" s="5"/>
      <c r="I202" s="5"/>
      <c r="J202" s="54">
        <v>50000</v>
      </c>
      <c r="K202" s="6" t="s">
        <v>105</v>
      </c>
      <c r="L202" s="6" t="s">
        <v>1173</v>
      </c>
      <c r="M202" s="6" t="b">
        <v>0</v>
      </c>
      <c r="N202" s="6" t="s">
        <v>1174</v>
      </c>
      <c r="O202" s="6" t="s">
        <v>1173</v>
      </c>
      <c r="P202" s="6" t="s">
        <v>38</v>
      </c>
      <c r="Q202" s="6" t="s">
        <v>1175</v>
      </c>
      <c r="R202" s="6" t="s">
        <v>110</v>
      </c>
      <c r="S202" s="5" t="s">
        <v>3323</v>
      </c>
      <c r="T202" s="10"/>
      <c r="U202" s="6"/>
    </row>
    <row r="203" spans="1:21" x14ac:dyDescent="0.2">
      <c r="A203" s="8">
        <v>5.62</v>
      </c>
      <c r="B203" s="5" t="s">
        <v>856</v>
      </c>
      <c r="C203" s="5" t="s">
        <v>863</v>
      </c>
      <c r="D203" s="6" t="s">
        <v>1176</v>
      </c>
      <c r="E203" s="6" t="s">
        <v>103</v>
      </c>
      <c r="F203" s="6" t="s">
        <v>290</v>
      </c>
      <c r="G203" s="5" t="s">
        <v>23</v>
      </c>
      <c r="H203" s="5"/>
      <c r="I203" s="5"/>
      <c r="J203" s="54">
        <v>0</v>
      </c>
      <c r="K203" s="6" t="s">
        <v>291</v>
      </c>
      <c r="L203" s="6" t="s">
        <v>1177</v>
      </c>
      <c r="M203" s="6" t="b">
        <v>0</v>
      </c>
      <c r="N203" s="6" t="s">
        <v>1178</v>
      </c>
      <c r="O203" s="6" t="s">
        <v>243</v>
      </c>
      <c r="P203" s="6" t="s">
        <v>28</v>
      </c>
      <c r="Q203" s="6" t="s">
        <v>1179</v>
      </c>
      <c r="R203" s="6" t="s">
        <v>871</v>
      </c>
      <c r="S203" s="5" t="s">
        <v>3323</v>
      </c>
      <c r="T203" s="10"/>
      <c r="U203" s="6"/>
    </row>
    <row r="204" spans="1:21" hidden="1" x14ac:dyDescent="0.2">
      <c r="A204">
        <v>5.55</v>
      </c>
      <c r="B204" t="s">
        <v>514</v>
      </c>
      <c r="C204" t="s">
        <v>101</v>
      </c>
      <c r="D204" t="s">
        <v>1276</v>
      </c>
      <c r="E204" t="s">
        <v>200</v>
      </c>
      <c r="F204" t="s">
        <v>33</v>
      </c>
      <c r="G204" t="s">
        <v>104</v>
      </c>
      <c r="J204">
        <v>250000</v>
      </c>
      <c r="K204" t="s">
        <v>1277</v>
      </c>
      <c r="L204" t="s">
        <v>532</v>
      </c>
      <c r="M204" t="b">
        <v>0</v>
      </c>
      <c r="N204" t="s">
        <v>210</v>
      </c>
      <c r="O204" t="s">
        <v>1278</v>
      </c>
      <c r="P204" t="s">
        <v>1279</v>
      </c>
      <c r="Q204" t="s">
        <v>1280</v>
      </c>
      <c r="R204" t="s">
        <v>110</v>
      </c>
      <c r="S204" t="s">
        <v>3323</v>
      </c>
      <c r="T204" s="2"/>
    </row>
    <row r="205" spans="1:21" x14ac:dyDescent="0.2">
      <c r="A205" s="8">
        <v>5.62</v>
      </c>
      <c r="B205" s="5" t="s">
        <v>856</v>
      </c>
      <c r="C205" s="5" t="s">
        <v>863</v>
      </c>
      <c r="D205" s="6" t="s">
        <v>1180</v>
      </c>
      <c r="E205" s="6" t="s">
        <v>103</v>
      </c>
      <c r="F205" s="6" t="s">
        <v>290</v>
      </c>
      <c r="G205" s="5" t="s">
        <v>23</v>
      </c>
      <c r="H205" s="5"/>
      <c r="I205" s="5"/>
      <c r="J205" s="54">
        <v>0</v>
      </c>
      <c r="K205" s="6" t="s">
        <v>291</v>
      </c>
      <c r="L205" s="6" t="s">
        <v>59</v>
      </c>
      <c r="M205" s="6" t="b">
        <v>0</v>
      </c>
      <c r="N205" s="6" t="s">
        <v>1181</v>
      </c>
      <c r="O205" s="6" t="s">
        <v>274</v>
      </c>
      <c r="P205" s="6" t="s">
        <v>28</v>
      </c>
      <c r="Q205" s="6" t="s">
        <v>1182</v>
      </c>
      <c r="R205" s="6" t="s">
        <v>871</v>
      </c>
      <c r="S205" s="5" t="s">
        <v>3323</v>
      </c>
      <c r="T205" s="10"/>
      <c r="U205" s="6"/>
    </row>
    <row r="206" spans="1:21" x14ac:dyDescent="0.2">
      <c r="A206" s="8">
        <v>5.62</v>
      </c>
      <c r="B206" s="5" t="s">
        <v>856</v>
      </c>
      <c r="C206" s="5" t="s">
        <v>863</v>
      </c>
      <c r="D206" s="6" t="s">
        <v>1183</v>
      </c>
      <c r="E206" s="6" t="s">
        <v>1184</v>
      </c>
      <c r="F206" s="6" t="s">
        <v>33</v>
      </c>
      <c r="G206" s="5" t="s">
        <v>23</v>
      </c>
      <c r="H206" s="5"/>
      <c r="I206" s="5"/>
      <c r="J206" s="54">
        <v>0</v>
      </c>
      <c r="K206" s="6" t="s">
        <v>1185</v>
      </c>
      <c r="L206" s="6" t="s">
        <v>1186</v>
      </c>
      <c r="M206" s="6" t="b">
        <v>0</v>
      </c>
      <c r="N206" s="6" t="s">
        <v>437</v>
      </c>
      <c r="O206" s="6" t="s">
        <v>1187</v>
      </c>
      <c r="P206" s="6" t="s">
        <v>38</v>
      </c>
      <c r="Q206" s="6" t="s">
        <v>1188</v>
      </c>
      <c r="R206" s="6" t="s">
        <v>871</v>
      </c>
      <c r="S206" s="5" t="s">
        <v>3323</v>
      </c>
      <c r="T206" s="10"/>
      <c r="U206" s="6"/>
    </row>
    <row r="207" spans="1:21" x14ac:dyDescent="0.2">
      <c r="A207" s="8">
        <v>5.61</v>
      </c>
      <c r="B207" s="5" t="s">
        <v>856</v>
      </c>
      <c r="C207" s="5" t="s">
        <v>863</v>
      </c>
      <c r="D207" s="6" t="s">
        <v>1189</v>
      </c>
      <c r="E207" s="6" t="s">
        <v>1190</v>
      </c>
      <c r="F207" s="6" t="s">
        <v>120</v>
      </c>
      <c r="G207" s="5" t="s">
        <v>23</v>
      </c>
      <c r="H207" s="5"/>
      <c r="I207" s="5"/>
      <c r="J207" s="54">
        <v>0</v>
      </c>
      <c r="K207" s="6" t="s">
        <v>1191</v>
      </c>
      <c r="L207" s="6" t="s">
        <v>1192</v>
      </c>
      <c r="M207" s="6" t="b">
        <v>0</v>
      </c>
      <c r="N207" s="6" t="s">
        <v>1193</v>
      </c>
      <c r="O207" s="6" t="s">
        <v>1194</v>
      </c>
      <c r="P207" s="6" t="s">
        <v>28</v>
      </c>
      <c r="Q207" s="6" t="s">
        <v>1195</v>
      </c>
      <c r="R207" s="6" t="s">
        <v>871</v>
      </c>
      <c r="S207" s="5" t="s">
        <v>3323</v>
      </c>
      <c r="T207" s="10"/>
      <c r="U207" s="6"/>
    </row>
    <row r="208" spans="1:21" x14ac:dyDescent="0.2">
      <c r="A208" s="8">
        <v>5.6</v>
      </c>
      <c r="B208" s="5" t="s">
        <v>856</v>
      </c>
      <c r="C208" s="5" t="s">
        <v>863</v>
      </c>
      <c r="D208" s="6" t="s">
        <v>1202</v>
      </c>
      <c r="E208" s="6" t="s">
        <v>1203</v>
      </c>
      <c r="F208" s="6" t="s">
        <v>42</v>
      </c>
      <c r="G208" s="5" t="s">
        <v>23</v>
      </c>
      <c r="H208" s="5"/>
      <c r="I208" s="5"/>
      <c r="J208" s="54">
        <v>0</v>
      </c>
      <c r="K208" s="6" t="s">
        <v>135</v>
      </c>
      <c r="L208" s="6" t="s">
        <v>1204</v>
      </c>
      <c r="M208" s="6" t="b">
        <v>0</v>
      </c>
      <c r="N208" s="6" t="s">
        <v>1205</v>
      </c>
      <c r="O208" s="6" t="s">
        <v>1206</v>
      </c>
      <c r="P208" s="6" t="s">
        <v>28</v>
      </c>
      <c r="Q208" s="6" t="s">
        <v>1207</v>
      </c>
      <c r="R208" s="6" t="s">
        <v>871</v>
      </c>
      <c r="S208" s="5" t="s">
        <v>3323</v>
      </c>
      <c r="T208" s="10"/>
      <c r="U208" s="6"/>
    </row>
    <row r="209" spans="1:21" hidden="1" x14ac:dyDescent="0.2">
      <c r="A209">
        <v>5.52</v>
      </c>
      <c r="B209" t="s">
        <v>514</v>
      </c>
      <c r="C209" t="s">
        <v>863</v>
      </c>
      <c r="D209" t="s">
        <v>1305</v>
      </c>
      <c r="E209" t="s">
        <v>1306</v>
      </c>
      <c r="F209" t="s">
        <v>22</v>
      </c>
      <c r="G209" t="s">
        <v>23</v>
      </c>
      <c r="H209" s="1">
        <v>46357</v>
      </c>
      <c r="I209">
        <v>109</v>
      </c>
      <c r="J209">
        <v>100000</v>
      </c>
      <c r="K209" t="s">
        <v>1307</v>
      </c>
      <c r="L209" t="s">
        <v>1308</v>
      </c>
      <c r="M209" t="b">
        <v>0</v>
      </c>
      <c r="N209" t="s">
        <v>1309</v>
      </c>
      <c r="O209" t="s">
        <v>1310</v>
      </c>
      <c r="P209" t="s">
        <v>1311</v>
      </c>
      <c r="Q209" t="s">
        <v>1312</v>
      </c>
      <c r="R209" t="s">
        <v>871</v>
      </c>
      <c r="S209" t="s">
        <v>3323</v>
      </c>
      <c r="T209" s="2"/>
    </row>
    <row r="210" spans="1:21" x14ac:dyDescent="0.2">
      <c r="A210" s="8">
        <v>5.6</v>
      </c>
      <c r="B210" s="5" t="s">
        <v>856</v>
      </c>
      <c r="C210" s="5" t="s">
        <v>101</v>
      </c>
      <c r="D210" s="6" t="s">
        <v>1208</v>
      </c>
      <c r="E210" s="6" t="s">
        <v>1209</v>
      </c>
      <c r="F210" s="6" t="s">
        <v>33</v>
      </c>
      <c r="G210" s="5" t="s">
        <v>104</v>
      </c>
      <c r="H210" s="5"/>
      <c r="I210" s="5"/>
      <c r="J210" s="54">
        <v>381500</v>
      </c>
      <c r="K210" s="6" t="s">
        <v>1210</v>
      </c>
      <c r="L210" s="6" t="s">
        <v>549</v>
      </c>
      <c r="M210" s="6" t="b">
        <v>0</v>
      </c>
      <c r="N210" s="6" t="s">
        <v>805</v>
      </c>
      <c r="O210" s="6" t="s">
        <v>1211</v>
      </c>
      <c r="P210" s="6" t="s">
        <v>38</v>
      </c>
      <c r="Q210" s="6" t="s">
        <v>1212</v>
      </c>
      <c r="R210" s="6" t="s">
        <v>110</v>
      </c>
      <c r="S210" s="5" t="s">
        <v>3323</v>
      </c>
      <c r="T210" s="10"/>
      <c r="U210" s="6"/>
    </row>
    <row r="211" spans="1:21" hidden="1" x14ac:dyDescent="0.2">
      <c r="A211">
        <v>5.5</v>
      </c>
      <c r="B211" t="s">
        <v>514</v>
      </c>
      <c r="C211" t="s">
        <v>863</v>
      </c>
      <c r="D211" t="s">
        <v>1318</v>
      </c>
      <c r="E211" t="s">
        <v>502</v>
      </c>
      <c r="F211" t="s">
        <v>427</v>
      </c>
      <c r="G211" t="s">
        <v>23</v>
      </c>
      <c r="J211">
        <v>0</v>
      </c>
      <c r="K211" t="s">
        <v>1319</v>
      </c>
      <c r="L211" t="s">
        <v>525</v>
      </c>
      <c r="M211" t="b">
        <v>1</v>
      </c>
      <c r="N211" t="s">
        <v>1320</v>
      </c>
      <c r="O211" t="s">
        <v>1321</v>
      </c>
      <c r="Q211" t="s">
        <v>1322</v>
      </c>
      <c r="R211" t="s">
        <v>871</v>
      </c>
      <c r="S211" t="s">
        <v>3323</v>
      </c>
      <c r="T211" s="2"/>
    </row>
    <row r="212" spans="1:21" x14ac:dyDescent="0.2">
      <c r="A212" s="8">
        <v>5.58</v>
      </c>
      <c r="B212" s="5" t="s">
        <v>856</v>
      </c>
      <c r="C212" s="5" t="s">
        <v>863</v>
      </c>
      <c r="D212" s="6" t="s">
        <v>1213</v>
      </c>
      <c r="E212" s="6" t="s">
        <v>1214</v>
      </c>
      <c r="F212" s="6" t="s">
        <v>33</v>
      </c>
      <c r="G212" s="5" t="s">
        <v>23</v>
      </c>
      <c r="H212" s="5"/>
      <c r="I212" s="5"/>
      <c r="J212" s="54">
        <v>400000</v>
      </c>
      <c r="K212" s="6" t="s">
        <v>1215</v>
      </c>
      <c r="L212" s="6" t="s">
        <v>549</v>
      </c>
      <c r="M212" s="6" t="b">
        <v>0</v>
      </c>
      <c r="N212" s="6" t="s">
        <v>59</v>
      </c>
      <c r="O212" s="6" t="s">
        <v>1216</v>
      </c>
      <c r="P212" s="6"/>
      <c r="Q212" s="6" t="s">
        <v>1217</v>
      </c>
      <c r="R212" s="6" t="s">
        <v>871</v>
      </c>
      <c r="S212" s="5" t="s">
        <v>3323</v>
      </c>
      <c r="T212" s="10"/>
      <c r="U212" s="6"/>
    </row>
    <row r="213" spans="1:21" x14ac:dyDescent="0.2">
      <c r="A213" s="8">
        <v>5.58</v>
      </c>
      <c r="B213" s="5" t="s">
        <v>856</v>
      </c>
      <c r="C213" s="5" t="s">
        <v>863</v>
      </c>
      <c r="D213" s="6" t="s">
        <v>1218</v>
      </c>
      <c r="E213" s="6" t="s">
        <v>103</v>
      </c>
      <c r="F213" s="6" t="s">
        <v>22</v>
      </c>
      <c r="G213" s="5" t="s">
        <v>23</v>
      </c>
      <c r="H213" s="5"/>
      <c r="I213" s="5"/>
      <c r="J213" s="54">
        <v>0</v>
      </c>
      <c r="K213" s="6" t="s">
        <v>1219</v>
      </c>
      <c r="L213" s="6" t="s">
        <v>1220</v>
      </c>
      <c r="M213" s="6" t="b">
        <v>0</v>
      </c>
      <c r="N213" s="6" t="s">
        <v>1221</v>
      </c>
      <c r="O213" s="6" t="s">
        <v>1222</v>
      </c>
      <c r="P213" s="6" t="s">
        <v>28</v>
      </c>
      <c r="Q213" s="6" t="s">
        <v>1223</v>
      </c>
      <c r="R213" s="6" t="s">
        <v>871</v>
      </c>
      <c r="S213" s="5" t="s">
        <v>3323</v>
      </c>
      <c r="T213" s="10"/>
      <c r="U213" s="6"/>
    </row>
    <row r="214" spans="1:21" x14ac:dyDescent="0.2">
      <c r="A214" s="8">
        <v>5.57</v>
      </c>
      <c r="B214" s="5" t="s">
        <v>856</v>
      </c>
      <c r="C214" s="5" t="s">
        <v>101</v>
      </c>
      <c r="D214" s="6" t="s">
        <v>1224</v>
      </c>
      <c r="E214" s="6" t="s">
        <v>1225</v>
      </c>
      <c r="F214" s="6" t="s">
        <v>33</v>
      </c>
      <c r="G214" s="5" t="s">
        <v>104</v>
      </c>
      <c r="H214" s="5"/>
      <c r="I214" s="5"/>
      <c r="J214" s="54">
        <v>100000</v>
      </c>
      <c r="K214" s="6" t="s">
        <v>1226</v>
      </c>
      <c r="L214" s="6" t="s">
        <v>59</v>
      </c>
      <c r="M214" s="6" t="b">
        <v>0</v>
      </c>
      <c r="N214" s="6" t="s">
        <v>210</v>
      </c>
      <c r="O214" s="6" t="s">
        <v>1227</v>
      </c>
      <c r="P214" s="6" t="s">
        <v>92</v>
      </c>
      <c r="Q214" s="6" t="s">
        <v>1228</v>
      </c>
      <c r="R214" s="6" t="s">
        <v>110</v>
      </c>
      <c r="S214" s="5" t="s">
        <v>3323</v>
      </c>
      <c r="T214" s="10"/>
      <c r="U214" s="6"/>
    </row>
    <row r="215" spans="1:21" x14ac:dyDescent="0.2">
      <c r="A215" s="8">
        <v>5.56</v>
      </c>
      <c r="B215" s="5" t="s">
        <v>856</v>
      </c>
      <c r="C215" s="5" t="s">
        <v>863</v>
      </c>
      <c r="D215" s="6" t="s">
        <v>1244</v>
      </c>
      <c r="E215" s="6" t="s">
        <v>103</v>
      </c>
      <c r="F215" s="6" t="s">
        <v>22</v>
      </c>
      <c r="G215" s="5" t="s">
        <v>23</v>
      </c>
      <c r="H215" s="5"/>
      <c r="I215" s="5"/>
      <c r="J215" s="54">
        <v>0</v>
      </c>
      <c r="K215" s="6" t="s">
        <v>1245</v>
      </c>
      <c r="L215" s="6" t="s">
        <v>1246</v>
      </c>
      <c r="M215" s="6" t="b">
        <v>0</v>
      </c>
      <c r="N215" s="6" t="s">
        <v>1247</v>
      </c>
      <c r="O215" s="6" t="s">
        <v>1248</v>
      </c>
      <c r="P215" s="6" t="s">
        <v>28</v>
      </c>
      <c r="Q215" s="6" t="s">
        <v>1249</v>
      </c>
      <c r="R215" s="6" t="s">
        <v>871</v>
      </c>
      <c r="S215" s="5" t="s">
        <v>3323</v>
      </c>
      <c r="T215" s="10"/>
      <c r="U215" s="6"/>
    </row>
    <row r="216" spans="1:21" x14ac:dyDescent="0.2">
      <c r="A216" s="8">
        <v>5.56</v>
      </c>
      <c r="B216" s="5" t="s">
        <v>856</v>
      </c>
      <c r="C216" s="5" t="s">
        <v>863</v>
      </c>
      <c r="D216" s="6" t="s">
        <v>1250</v>
      </c>
      <c r="E216" s="6" t="s">
        <v>103</v>
      </c>
      <c r="F216" s="6" t="s">
        <v>22</v>
      </c>
      <c r="G216" s="5" t="s">
        <v>23</v>
      </c>
      <c r="H216" s="5"/>
      <c r="I216" s="5"/>
      <c r="J216" s="54">
        <v>0</v>
      </c>
      <c r="K216" s="6" t="s">
        <v>1251</v>
      </c>
      <c r="L216" s="6" t="s">
        <v>1252</v>
      </c>
      <c r="M216" s="6" t="b">
        <v>0</v>
      </c>
      <c r="N216" s="6" t="s">
        <v>1253</v>
      </c>
      <c r="O216" s="6" t="s">
        <v>243</v>
      </c>
      <c r="P216" s="6" t="s">
        <v>28</v>
      </c>
      <c r="Q216" s="6" t="s">
        <v>1254</v>
      </c>
      <c r="R216" s="6" t="s">
        <v>871</v>
      </c>
      <c r="S216" s="5" t="s">
        <v>3323</v>
      </c>
      <c r="T216" s="10"/>
      <c r="U216" s="6"/>
    </row>
    <row r="217" spans="1:21" x14ac:dyDescent="0.2">
      <c r="A217" s="8">
        <v>5.55</v>
      </c>
      <c r="B217" s="5" t="s">
        <v>856</v>
      </c>
      <c r="C217" s="5" t="s">
        <v>101</v>
      </c>
      <c r="D217" s="6" t="s">
        <v>1262</v>
      </c>
      <c r="E217" s="6" t="s">
        <v>1263</v>
      </c>
      <c r="F217" s="6" t="s">
        <v>73</v>
      </c>
      <c r="G217" s="5" t="s">
        <v>104</v>
      </c>
      <c r="H217" s="5"/>
      <c r="I217" s="5"/>
      <c r="J217" s="54">
        <v>480000</v>
      </c>
      <c r="K217" s="6" t="s">
        <v>1264</v>
      </c>
      <c r="L217" s="6" t="s">
        <v>1265</v>
      </c>
      <c r="M217" s="6" t="b">
        <v>0</v>
      </c>
      <c r="N217" s="6" t="s">
        <v>1266</v>
      </c>
      <c r="O217" s="6" t="s">
        <v>1267</v>
      </c>
      <c r="P217" s="6" t="s">
        <v>28</v>
      </c>
      <c r="Q217" s="6" t="s">
        <v>1268</v>
      </c>
      <c r="R217" s="6" t="s">
        <v>110</v>
      </c>
      <c r="S217" s="5" t="s">
        <v>3323</v>
      </c>
      <c r="T217" s="10"/>
      <c r="U217" s="6"/>
    </row>
    <row r="218" spans="1:21" x14ac:dyDescent="0.2">
      <c r="A218" s="8">
        <v>5.55</v>
      </c>
      <c r="B218" s="5" t="s">
        <v>856</v>
      </c>
      <c r="C218" s="5" t="s">
        <v>863</v>
      </c>
      <c r="D218" s="6" t="s">
        <v>1269</v>
      </c>
      <c r="E218" s="6" t="s">
        <v>1270</v>
      </c>
      <c r="F218" s="6" t="s">
        <v>42</v>
      </c>
      <c r="G218" s="5" t="s">
        <v>23</v>
      </c>
      <c r="H218" s="5"/>
      <c r="I218" s="5"/>
      <c r="J218" s="61">
        <v>1</v>
      </c>
      <c r="K218" s="6" t="s">
        <v>1271</v>
      </c>
      <c r="L218" s="6" t="s">
        <v>1272</v>
      </c>
      <c r="M218" s="6" t="b">
        <v>0</v>
      </c>
      <c r="N218" s="6" t="s">
        <v>1273</v>
      </c>
      <c r="O218" s="6" t="s">
        <v>1274</v>
      </c>
      <c r="P218" s="6" t="s">
        <v>28</v>
      </c>
      <c r="Q218" s="6" t="s">
        <v>1275</v>
      </c>
      <c r="R218" s="6" t="s">
        <v>871</v>
      </c>
      <c r="S218" s="5" t="s">
        <v>3323</v>
      </c>
      <c r="T218" s="10"/>
      <c r="U218" s="6"/>
    </row>
    <row r="219" spans="1:21" x14ac:dyDescent="0.2">
      <c r="A219" s="8">
        <v>5.54</v>
      </c>
      <c r="B219" s="5" t="s">
        <v>856</v>
      </c>
      <c r="C219" s="5" t="s">
        <v>101</v>
      </c>
      <c r="D219" s="6" t="s">
        <v>1293</v>
      </c>
      <c r="E219" s="6" t="s">
        <v>950</v>
      </c>
      <c r="F219" s="6" t="s">
        <v>33</v>
      </c>
      <c r="G219" s="5" t="s">
        <v>104</v>
      </c>
      <c r="H219" s="5"/>
      <c r="I219" s="5"/>
      <c r="J219" s="54">
        <v>38100</v>
      </c>
      <c r="K219" s="6" t="s">
        <v>1294</v>
      </c>
      <c r="L219" s="6" t="s">
        <v>267</v>
      </c>
      <c r="M219" s="6" t="b">
        <v>0</v>
      </c>
      <c r="N219" s="6" t="s">
        <v>1295</v>
      </c>
      <c r="O219" s="6" t="s">
        <v>1296</v>
      </c>
      <c r="P219" s="6"/>
      <c r="Q219" s="6" t="s">
        <v>1297</v>
      </c>
      <c r="R219" s="6" t="s">
        <v>110</v>
      </c>
      <c r="S219" s="5" t="s">
        <v>3323</v>
      </c>
      <c r="T219" s="10"/>
      <c r="U219" s="6"/>
    </row>
    <row r="220" spans="1:21" x14ac:dyDescent="0.2">
      <c r="A220" s="8">
        <v>5.53</v>
      </c>
      <c r="B220" s="5" t="s">
        <v>856</v>
      </c>
      <c r="C220" s="5" t="s">
        <v>101</v>
      </c>
      <c r="D220" s="6" t="s">
        <v>1298</v>
      </c>
      <c r="E220" s="6" t="s">
        <v>1299</v>
      </c>
      <c r="F220" s="6" t="s">
        <v>33</v>
      </c>
      <c r="G220" s="5" t="s">
        <v>104</v>
      </c>
      <c r="H220" s="5"/>
      <c r="I220" s="5"/>
      <c r="J220" s="54">
        <v>40000</v>
      </c>
      <c r="K220" s="6" t="s">
        <v>1300</v>
      </c>
      <c r="L220" s="6" t="s">
        <v>1301</v>
      </c>
      <c r="M220" s="6" t="b">
        <v>0</v>
      </c>
      <c r="N220" s="6" t="s">
        <v>1302</v>
      </c>
      <c r="O220" s="6" t="s">
        <v>1303</v>
      </c>
      <c r="P220" s="6" t="s">
        <v>28</v>
      </c>
      <c r="Q220" s="6" t="s">
        <v>1304</v>
      </c>
      <c r="R220" s="6" t="s">
        <v>110</v>
      </c>
      <c r="S220" s="5" t="s">
        <v>3323</v>
      </c>
      <c r="T220" s="10"/>
      <c r="U220" s="6"/>
    </row>
    <row r="221" spans="1:21" x14ac:dyDescent="0.2">
      <c r="A221" s="8">
        <v>5.52</v>
      </c>
      <c r="B221" s="5" t="s">
        <v>856</v>
      </c>
      <c r="C221" s="5" t="s">
        <v>863</v>
      </c>
      <c r="D221" s="6" t="s">
        <v>1313</v>
      </c>
      <c r="E221" s="6" t="s">
        <v>1030</v>
      </c>
      <c r="F221" s="6" t="s">
        <v>810</v>
      </c>
      <c r="G221" s="5" t="s">
        <v>23</v>
      </c>
      <c r="H221" s="5"/>
      <c r="I221" s="5"/>
      <c r="J221" s="54">
        <v>0</v>
      </c>
      <c r="K221" s="6" t="s">
        <v>1314</v>
      </c>
      <c r="L221" s="6" t="s">
        <v>1032</v>
      </c>
      <c r="M221" s="6" t="b">
        <v>0</v>
      </c>
      <c r="N221" s="6" t="s">
        <v>1315</v>
      </c>
      <c r="O221" s="6" t="s">
        <v>1316</v>
      </c>
      <c r="P221" s="6" t="s">
        <v>28</v>
      </c>
      <c r="Q221" s="6" t="s">
        <v>1317</v>
      </c>
      <c r="R221" s="6" t="s">
        <v>871</v>
      </c>
      <c r="S221" s="5" t="s">
        <v>3323</v>
      </c>
      <c r="T221" s="10"/>
      <c r="U221" s="6"/>
    </row>
    <row r="222" spans="1:21" x14ac:dyDescent="0.2">
      <c r="A222" s="8">
        <v>5.5</v>
      </c>
      <c r="B222" s="5" t="s">
        <v>856</v>
      </c>
      <c r="C222" s="5" t="s">
        <v>863</v>
      </c>
      <c r="D222" s="6" t="s">
        <v>1323</v>
      </c>
      <c r="E222" s="6" t="s">
        <v>103</v>
      </c>
      <c r="F222" s="6" t="s">
        <v>22</v>
      </c>
      <c r="G222" s="5" t="s">
        <v>23</v>
      </c>
      <c r="H222" s="5"/>
      <c r="I222" s="5"/>
      <c r="J222" s="54">
        <v>0</v>
      </c>
      <c r="K222" s="6" t="s">
        <v>1324</v>
      </c>
      <c r="L222" s="6" t="s">
        <v>1325</v>
      </c>
      <c r="M222" s="6" t="b">
        <v>0</v>
      </c>
      <c r="N222" s="6" t="s">
        <v>1326</v>
      </c>
      <c r="O222" s="6" t="s">
        <v>243</v>
      </c>
      <c r="P222" s="6" t="s">
        <v>28</v>
      </c>
      <c r="Q222" s="6" t="s">
        <v>1327</v>
      </c>
      <c r="R222" s="6" t="s">
        <v>871</v>
      </c>
      <c r="S222" s="5" t="s">
        <v>3323</v>
      </c>
      <c r="T222" s="10"/>
      <c r="U222" s="6"/>
    </row>
    <row r="223" spans="1:21" x14ac:dyDescent="0.2">
      <c r="A223" s="8">
        <v>5.47</v>
      </c>
      <c r="B223" s="5" t="s">
        <v>856</v>
      </c>
      <c r="C223" s="5" t="s">
        <v>863</v>
      </c>
      <c r="D223" s="6" t="s">
        <v>1333</v>
      </c>
      <c r="E223" s="6" t="s">
        <v>1334</v>
      </c>
      <c r="F223" s="6" t="s">
        <v>33</v>
      </c>
      <c r="G223" s="5" t="s">
        <v>23</v>
      </c>
      <c r="H223" s="5"/>
      <c r="I223" s="5"/>
      <c r="J223" s="54">
        <v>0</v>
      </c>
      <c r="K223" s="6" t="s">
        <v>1335</v>
      </c>
      <c r="L223" s="6" t="s">
        <v>1336</v>
      </c>
      <c r="M223" s="6" t="b">
        <v>0</v>
      </c>
      <c r="N223" s="6" t="s">
        <v>1337</v>
      </c>
      <c r="O223" s="6" t="s">
        <v>1338</v>
      </c>
      <c r="P223" s="6" t="s">
        <v>38</v>
      </c>
      <c r="Q223" s="6" t="s">
        <v>1339</v>
      </c>
      <c r="R223" s="6" t="s">
        <v>871</v>
      </c>
      <c r="S223" s="5" t="s">
        <v>3323</v>
      </c>
      <c r="T223" s="10"/>
      <c r="U223" s="6"/>
    </row>
    <row r="224" spans="1:21" x14ac:dyDescent="0.2">
      <c r="A224" s="8">
        <v>5.47</v>
      </c>
      <c r="B224" s="5" t="s">
        <v>856</v>
      </c>
      <c r="C224" s="5" t="s">
        <v>101</v>
      </c>
      <c r="D224" s="6" t="s">
        <v>1340</v>
      </c>
      <c r="E224" s="6" t="s">
        <v>1341</v>
      </c>
      <c r="F224" s="6" t="s">
        <v>33</v>
      </c>
      <c r="G224" s="5" t="s">
        <v>104</v>
      </c>
      <c r="H224" s="5"/>
      <c r="I224" s="5"/>
      <c r="J224" s="54">
        <v>327000</v>
      </c>
      <c r="K224" s="6" t="s">
        <v>1342</v>
      </c>
      <c r="L224" s="6" t="s">
        <v>1343</v>
      </c>
      <c r="M224" s="6" t="b">
        <v>0</v>
      </c>
      <c r="N224" s="6" t="s">
        <v>1344</v>
      </c>
      <c r="O224" s="6" t="s">
        <v>1345</v>
      </c>
      <c r="P224" s="6" t="s">
        <v>1346</v>
      </c>
      <c r="Q224" s="6" t="s">
        <v>1347</v>
      </c>
      <c r="R224" s="6" t="s">
        <v>110</v>
      </c>
      <c r="S224" s="5" t="s">
        <v>3323</v>
      </c>
      <c r="T224" s="10"/>
      <c r="U224" s="6"/>
    </row>
    <row r="225" spans="1:21" x14ac:dyDescent="0.2">
      <c r="A225" s="8">
        <v>5.47</v>
      </c>
      <c r="B225" s="5" t="s">
        <v>856</v>
      </c>
      <c r="C225" s="5" t="s">
        <v>863</v>
      </c>
      <c r="D225" s="6" t="s">
        <v>1348</v>
      </c>
      <c r="E225" s="6" t="s">
        <v>1349</v>
      </c>
      <c r="F225" s="6" t="s">
        <v>73</v>
      </c>
      <c r="G225" s="5" t="s">
        <v>23</v>
      </c>
      <c r="H225" s="5"/>
      <c r="I225" s="5"/>
      <c r="J225" s="54">
        <v>0</v>
      </c>
      <c r="K225" s="6" t="s">
        <v>1350</v>
      </c>
      <c r="L225" s="6" t="s">
        <v>1351</v>
      </c>
      <c r="M225" s="6" t="b">
        <v>0</v>
      </c>
      <c r="N225" s="6" t="s">
        <v>1352</v>
      </c>
      <c r="O225" s="6" t="s">
        <v>1353</v>
      </c>
      <c r="P225" s="6" t="s">
        <v>38</v>
      </c>
      <c r="Q225" s="6" t="s">
        <v>1354</v>
      </c>
      <c r="R225" s="6" t="s">
        <v>871</v>
      </c>
      <c r="S225" s="5" t="s">
        <v>3323</v>
      </c>
      <c r="T225" s="10"/>
      <c r="U225" s="6"/>
    </row>
    <row r="226" spans="1:21" x14ac:dyDescent="0.2">
      <c r="A226" s="8">
        <v>5.46</v>
      </c>
      <c r="B226" s="5" t="s">
        <v>856</v>
      </c>
      <c r="C226" s="5" t="s">
        <v>863</v>
      </c>
      <c r="D226" s="6" t="s">
        <v>1355</v>
      </c>
      <c r="E226" s="6" t="s">
        <v>502</v>
      </c>
      <c r="F226" s="6" t="s">
        <v>427</v>
      </c>
      <c r="G226" s="5" t="s">
        <v>23</v>
      </c>
      <c r="H226" s="5"/>
      <c r="I226" s="5"/>
      <c r="J226" s="54">
        <v>0</v>
      </c>
      <c r="K226" s="6" t="s">
        <v>1356</v>
      </c>
      <c r="L226" s="6" t="s">
        <v>1357</v>
      </c>
      <c r="M226" s="6" t="b">
        <v>0</v>
      </c>
      <c r="N226" s="6" t="s">
        <v>1358</v>
      </c>
      <c r="O226" s="6" t="s">
        <v>1359</v>
      </c>
      <c r="P226" s="6"/>
      <c r="Q226" s="6" t="s">
        <v>1360</v>
      </c>
      <c r="R226" s="6" t="s">
        <v>871</v>
      </c>
      <c r="S226" s="5" t="s">
        <v>3323</v>
      </c>
      <c r="T226" s="10"/>
      <c r="U226" s="6"/>
    </row>
    <row r="227" spans="1:21" x14ac:dyDescent="0.2">
      <c r="A227" s="8">
        <v>5.46</v>
      </c>
      <c r="B227" s="5" t="s">
        <v>856</v>
      </c>
      <c r="C227" s="5" t="s">
        <v>101</v>
      </c>
      <c r="D227" s="6" t="s">
        <v>1361</v>
      </c>
      <c r="E227" s="6" t="s">
        <v>1362</v>
      </c>
      <c r="F227" s="6" t="s">
        <v>33</v>
      </c>
      <c r="G227" s="5" t="s">
        <v>104</v>
      </c>
      <c r="H227" s="5"/>
      <c r="I227" s="5"/>
      <c r="J227" s="54">
        <v>150000</v>
      </c>
      <c r="K227" s="6" t="s">
        <v>1363</v>
      </c>
      <c r="L227" s="6" t="s">
        <v>525</v>
      </c>
      <c r="M227" s="6" t="b">
        <v>0</v>
      </c>
      <c r="N227" s="6" t="s">
        <v>1364</v>
      </c>
      <c r="O227" s="6" t="s">
        <v>1365</v>
      </c>
      <c r="P227" s="6"/>
      <c r="Q227" s="6" t="s">
        <v>1366</v>
      </c>
      <c r="R227" s="6" t="s">
        <v>110</v>
      </c>
      <c r="S227" s="5" t="s">
        <v>3323</v>
      </c>
      <c r="T227" s="10"/>
      <c r="U227" s="6"/>
    </row>
    <row r="228" spans="1:21" hidden="1" x14ac:dyDescent="0.2">
      <c r="A228">
        <v>5.4</v>
      </c>
      <c r="B228" t="s">
        <v>514</v>
      </c>
      <c r="C228" t="s">
        <v>101</v>
      </c>
      <c r="D228" t="s">
        <v>1415</v>
      </c>
      <c r="E228" t="s">
        <v>1416</v>
      </c>
      <c r="F228" t="s">
        <v>120</v>
      </c>
      <c r="G228" t="s">
        <v>104</v>
      </c>
      <c r="H228" s="1">
        <v>46259</v>
      </c>
      <c r="I228">
        <v>11</v>
      </c>
      <c r="J228">
        <v>95250</v>
      </c>
      <c r="K228" t="s">
        <v>1417</v>
      </c>
      <c r="L228" t="s">
        <v>1418</v>
      </c>
      <c r="M228" t="b">
        <v>0</v>
      </c>
      <c r="N228" t="s">
        <v>1419</v>
      </c>
      <c r="O228" t="s">
        <v>1420</v>
      </c>
      <c r="P228" t="s">
        <v>1421</v>
      </c>
      <c r="Q228" t="s">
        <v>1422</v>
      </c>
      <c r="R228" t="s">
        <v>110</v>
      </c>
      <c r="S228" t="s">
        <v>3323</v>
      </c>
      <c r="T228" s="2"/>
    </row>
    <row r="229" spans="1:21" x14ac:dyDescent="0.2">
      <c r="A229" s="8">
        <v>5.46</v>
      </c>
      <c r="B229" s="5" t="s">
        <v>856</v>
      </c>
      <c r="C229" s="5" t="s">
        <v>101</v>
      </c>
      <c r="D229" s="6" t="s">
        <v>1367</v>
      </c>
      <c r="E229" s="6" t="s">
        <v>103</v>
      </c>
      <c r="F229" s="6" t="s">
        <v>22</v>
      </c>
      <c r="G229" s="5" t="s">
        <v>104</v>
      </c>
      <c r="H229" s="5"/>
      <c r="I229" s="5"/>
      <c r="J229" s="54">
        <v>0</v>
      </c>
      <c r="K229" s="6" t="s">
        <v>1368</v>
      </c>
      <c r="L229" s="6" t="s">
        <v>59</v>
      </c>
      <c r="M229" s="6" t="b">
        <v>0</v>
      </c>
      <c r="N229" s="6" t="s">
        <v>1369</v>
      </c>
      <c r="O229" s="6" t="s">
        <v>1370</v>
      </c>
      <c r="P229" s="6" t="s">
        <v>38</v>
      </c>
      <c r="Q229" s="6" t="s">
        <v>1371</v>
      </c>
      <c r="R229" s="6" t="s">
        <v>110</v>
      </c>
      <c r="S229" s="5" t="s">
        <v>3323</v>
      </c>
      <c r="T229" s="10"/>
      <c r="U229" s="6"/>
    </row>
    <row r="230" spans="1:21" x14ac:dyDescent="0.2">
      <c r="A230" s="8">
        <v>5.45</v>
      </c>
      <c r="B230" s="5" t="s">
        <v>856</v>
      </c>
      <c r="C230" s="5" t="s">
        <v>863</v>
      </c>
      <c r="D230" s="6" t="s">
        <v>1372</v>
      </c>
      <c r="E230" s="6" t="s">
        <v>1373</v>
      </c>
      <c r="F230" s="6" t="s">
        <v>427</v>
      </c>
      <c r="G230" s="5" t="s">
        <v>23</v>
      </c>
      <c r="H230" s="5"/>
      <c r="I230" s="5"/>
      <c r="J230" s="54">
        <v>0</v>
      </c>
      <c r="K230" s="6" t="s">
        <v>817</v>
      </c>
      <c r="L230" s="6" t="s">
        <v>136</v>
      </c>
      <c r="M230" s="6" t="b">
        <v>0</v>
      </c>
      <c r="N230" s="6" t="s">
        <v>1374</v>
      </c>
      <c r="O230" s="6" t="s">
        <v>1375</v>
      </c>
      <c r="P230" s="6" t="s">
        <v>38</v>
      </c>
      <c r="Q230" s="6" t="s">
        <v>1376</v>
      </c>
      <c r="R230" s="6" t="s">
        <v>871</v>
      </c>
      <c r="S230" s="5" t="s">
        <v>3323</v>
      </c>
      <c r="T230" s="10"/>
      <c r="U230" s="6"/>
    </row>
    <row r="231" spans="1:21" x14ac:dyDescent="0.2">
      <c r="A231" s="8">
        <v>5.45</v>
      </c>
      <c r="B231" s="5" t="s">
        <v>856</v>
      </c>
      <c r="C231" s="5" t="s">
        <v>863</v>
      </c>
      <c r="D231" s="6" t="s">
        <v>1377</v>
      </c>
      <c r="E231" s="6" t="s">
        <v>1378</v>
      </c>
      <c r="F231" s="6" t="s">
        <v>810</v>
      </c>
      <c r="G231" s="5" t="s">
        <v>23</v>
      </c>
      <c r="H231" s="5"/>
      <c r="I231" s="5"/>
      <c r="J231" s="54">
        <v>0</v>
      </c>
      <c r="K231" s="6" t="s">
        <v>1379</v>
      </c>
      <c r="L231" s="6" t="s">
        <v>928</v>
      </c>
      <c r="M231" s="6" t="b">
        <v>0</v>
      </c>
      <c r="N231" s="6" t="s">
        <v>1380</v>
      </c>
      <c r="O231" s="6" t="s">
        <v>243</v>
      </c>
      <c r="P231" s="6" t="s">
        <v>38</v>
      </c>
      <c r="Q231" s="6" t="s">
        <v>1381</v>
      </c>
      <c r="R231" s="6" t="s">
        <v>871</v>
      </c>
      <c r="S231" s="5" t="s">
        <v>3323</v>
      </c>
      <c r="T231" s="10"/>
      <c r="U231" s="6"/>
    </row>
    <row r="232" spans="1:21" x14ac:dyDescent="0.2">
      <c r="A232" s="8">
        <v>5.45</v>
      </c>
      <c r="B232" s="5" t="s">
        <v>856</v>
      </c>
      <c r="C232" s="5" t="s">
        <v>863</v>
      </c>
      <c r="D232" s="6" t="s">
        <v>1382</v>
      </c>
      <c r="E232" s="6" t="s">
        <v>1383</v>
      </c>
      <c r="F232" s="6" t="s">
        <v>33</v>
      </c>
      <c r="G232" s="5" t="s">
        <v>23</v>
      </c>
      <c r="H232" s="5"/>
      <c r="I232" s="5"/>
      <c r="J232" s="54">
        <v>0</v>
      </c>
      <c r="K232" s="6" t="s">
        <v>1198</v>
      </c>
      <c r="L232" s="6" t="s">
        <v>549</v>
      </c>
      <c r="M232" s="6" t="b">
        <v>0</v>
      </c>
      <c r="N232" s="6" t="s">
        <v>1384</v>
      </c>
      <c r="O232" s="6" t="s">
        <v>1385</v>
      </c>
      <c r="P232" s="6" t="s">
        <v>38</v>
      </c>
      <c r="Q232" s="6" t="s">
        <v>1386</v>
      </c>
      <c r="R232" s="6" t="s">
        <v>871</v>
      </c>
      <c r="S232" s="5" t="s">
        <v>3323</v>
      </c>
      <c r="T232" s="10"/>
      <c r="U232" s="6"/>
    </row>
    <row r="233" spans="1:21" x14ac:dyDescent="0.2">
      <c r="A233" s="8">
        <v>5.44</v>
      </c>
      <c r="B233" s="5" t="s">
        <v>856</v>
      </c>
      <c r="C233" s="5" t="s">
        <v>863</v>
      </c>
      <c r="D233" s="6" t="s">
        <v>1387</v>
      </c>
      <c r="E233" s="6" t="s">
        <v>1388</v>
      </c>
      <c r="F233" s="6" t="s">
        <v>33</v>
      </c>
      <c r="G233" s="5" t="s">
        <v>23</v>
      </c>
      <c r="H233" s="5"/>
      <c r="I233" s="5"/>
      <c r="J233" s="54">
        <v>0</v>
      </c>
      <c r="K233" s="6" t="s">
        <v>1389</v>
      </c>
      <c r="L233" s="6" t="s">
        <v>525</v>
      </c>
      <c r="M233" s="6" t="b">
        <v>0</v>
      </c>
      <c r="N233" s="6" t="s">
        <v>1390</v>
      </c>
      <c r="O233" s="6" t="s">
        <v>1391</v>
      </c>
      <c r="P233" s="6" t="s">
        <v>38</v>
      </c>
      <c r="Q233" s="6" t="s">
        <v>1392</v>
      </c>
      <c r="R233" s="6" t="s">
        <v>871</v>
      </c>
      <c r="S233" s="5" t="s">
        <v>3323</v>
      </c>
      <c r="T233" s="10"/>
      <c r="U233" s="6"/>
    </row>
    <row r="234" spans="1:21" hidden="1" x14ac:dyDescent="0.2">
      <c r="A234">
        <v>5.35</v>
      </c>
      <c r="B234" t="s">
        <v>514</v>
      </c>
      <c r="C234" t="s">
        <v>863</v>
      </c>
      <c r="D234" t="s">
        <v>1450</v>
      </c>
      <c r="E234" t="s">
        <v>466</v>
      </c>
      <c r="F234" t="s">
        <v>73</v>
      </c>
      <c r="G234" t="s">
        <v>23</v>
      </c>
      <c r="J234">
        <v>419100</v>
      </c>
      <c r="K234" t="s">
        <v>1451</v>
      </c>
      <c r="L234" t="s">
        <v>1452</v>
      </c>
      <c r="M234" t="b">
        <v>0</v>
      </c>
      <c r="N234" t="s">
        <v>1453</v>
      </c>
      <c r="O234" t="s">
        <v>1454</v>
      </c>
      <c r="P234" t="s">
        <v>1455</v>
      </c>
      <c r="Q234" t="s">
        <v>176</v>
      </c>
      <c r="R234" t="s">
        <v>871</v>
      </c>
      <c r="S234" t="s">
        <v>3323</v>
      </c>
      <c r="T234" s="2"/>
    </row>
    <row r="235" spans="1:21" x14ac:dyDescent="0.2">
      <c r="A235" s="8">
        <v>5.44</v>
      </c>
      <c r="B235" s="5" t="s">
        <v>856</v>
      </c>
      <c r="C235" s="5" t="s">
        <v>863</v>
      </c>
      <c r="D235" s="6" t="s">
        <v>1393</v>
      </c>
      <c r="E235" s="6" t="s">
        <v>1394</v>
      </c>
      <c r="F235" s="6" t="s">
        <v>33</v>
      </c>
      <c r="G235" s="5" t="s">
        <v>23</v>
      </c>
      <c r="H235" s="5"/>
      <c r="I235" s="5"/>
      <c r="J235" s="54">
        <v>0</v>
      </c>
      <c r="K235" s="6" t="s">
        <v>1395</v>
      </c>
      <c r="L235" s="6" t="s">
        <v>1396</v>
      </c>
      <c r="M235" s="6" t="b">
        <v>0</v>
      </c>
      <c r="N235" s="6" t="s">
        <v>59</v>
      </c>
      <c r="O235" s="6" t="s">
        <v>1397</v>
      </c>
      <c r="P235" s="6"/>
      <c r="Q235" s="6" t="s">
        <v>1398</v>
      </c>
      <c r="R235" s="6" t="s">
        <v>871</v>
      </c>
      <c r="S235" s="5" t="s">
        <v>3323</v>
      </c>
      <c r="T235" s="10"/>
      <c r="U235" s="6"/>
    </row>
    <row r="236" spans="1:21" x14ac:dyDescent="0.2">
      <c r="A236" s="8">
        <v>5.43</v>
      </c>
      <c r="B236" s="5" t="s">
        <v>856</v>
      </c>
      <c r="C236" s="5" t="s">
        <v>101</v>
      </c>
      <c r="D236" s="6" t="s">
        <v>1405</v>
      </c>
      <c r="E236" s="6" t="s">
        <v>103</v>
      </c>
      <c r="F236" s="6" t="s">
        <v>290</v>
      </c>
      <c r="G236" s="5" t="s">
        <v>104</v>
      </c>
      <c r="H236" s="5"/>
      <c r="I236" s="5"/>
      <c r="J236" s="54">
        <v>0</v>
      </c>
      <c r="K236" s="6" t="s">
        <v>1406</v>
      </c>
      <c r="L236" s="6" t="s">
        <v>59</v>
      </c>
      <c r="M236" s="6" t="b">
        <v>0</v>
      </c>
      <c r="N236" s="6" t="s">
        <v>1174</v>
      </c>
      <c r="O236" s="6" t="s">
        <v>274</v>
      </c>
      <c r="P236" s="6" t="s">
        <v>28</v>
      </c>
      <c r="Q236" s="6" t="s">
        <v>1407</v>
      </c>
      <c r="R236" s="6" t="s">
        <v>110</v>
      </c>
      <c r="S236" s="5" t="s">
        <v>3323</v>
      </c>
      <c r="T236" s="10"/>
      <c r="U236" s="6"/>
    </row>
    <row r="237" spans="1:21" x14ac:dyDescent="0.2">
      <c r="A237" s="8">
        <v>5.42</v>
      </c>
      <c r="B237" s="5" t="s">
        <v>856</v>
      </c>
      <c r="C237" s="5" t="s">
        <v>863</v>
      </c>
      <c r="D237" s="6" t="s">
        <v>1408</v>
      </c>
      <c r="E237" s="6" t="s">
        <v>1409</v>
      </c>
      <c r="F237" s="6" t="s">
        <v>120</v>
      </c>
      <c r="G237" s="5" t="s">
        <v>23</v>
      </c>
      <c r="H237" s="5"/>
      <c r="I237" s="5"/>
      <c r="J237" s="54">
        <v>0</v>
      </c>
      <c r="K237" s="6" t="s">
        <v>1410</v>
      </c>
      <c r="L237" s="6" t="s">
        <v>1411</v>
      </c>
      <c r="M237" s="6" t="b">
        <v>0</v>
      </c>
      <c r="N237" s="6" t="s">
        <v>1412</v>
      </c>
      <c r="O237" s="6" t="s">
        <v>1413</v>
      </c>
      <c r="P237" s="6" t="s">
        <v>28</v>
      </c>
      <c r="Q237" s="6" t="s">
        <v>1414</v>
      </c>
      <c r="R237" s="6" t="s">
        <v>871</v>
      </c>
      <c r="S237" s="5" t="s">
        <v>3323</v>
      </c>
      <c r="T237" s="10"/>
      <c r="U237" s="6"/>
    </row>
    <row r="238" spans="1:21" x14ac:dyDescent="0.2">
      <c r="A238" s="8">
        <v>5.4</v>
      </c>
      <c r="B238" s="5" t="s">
        <v>856</v>
      </c>
      <c r="C238" s="5" t="s">
        <v>863</v>
      </c>
      <c r="D238" s="6" t="s">
        <v>1423</v>
      </c>
      <c r="E238" s="6" t="s">
        <v>1424</v>
      </c>
      <c r="F238" s="6" t="s">
        <v>22</v>
      </c>
      <c r="G238" s="5" t="s">
        <v>23</v>
      </c>
      <c r="H238" s="5"/>
      <c r="I238" s="5"/>
      <c r="J238" s="54">
        <v>1000</v>
      </c>
      <c r="K238" s="6" t="s">
        <v>1425</v>
      </c>
      <c r="L238" s="6" t="s">
        <v>1426</v>
      </c>
      <c r="M238" s="6" t="b">
        <v>0</v>
      </c>
      <c r="N238" s="6" t="s">
        <v>1427</v>
      </c>
      <c r="O238" s="6" t="s">
        <v>243</v>
      </c>
      <c r="P238" s="6"/>
      <c r="Q238" s="6" t="s">
        <v>1428</v>
      </c>
      <c r="R238" s="6" t="s">
        <v>871</v>
      </c>
      <c r="S238" s="5" t="s">
        <v>3323</v>
      </c>
      <c r="T238" s="10"/>
      <c r="U238" s="6"/>
    </row>
    <row r="239" spans="1:21" x14ac:dyDescent="0.2">
      <c r="A239" s="8">
        <v>5.4</v>
      </c>
      <c r="B239" s="5" t="s">
        <v>856</v>
      </c>
      <c r="C239" s="5" t="s">
        <v>863</v>
      </c>
      <c r="D239" s="6" t="s">
        <v>1429</v>
      </c>
      <c r="E239" s="6" t="s">
        <v>103</v>
      </c>
      <c r="F239" s="6" t="s">
        <v>290</v>
      </c>
      <c r="G239" s="5" t="s">
        <v>23</v>
      </c>
      <c r="H239" s="5"/>
      <c r="I239" s="5"/>
      <c r="J239" s="54">
        <v>0</v>
      </c>
      <c r="K239" s="6" t="s">
        <v>291</v>
      </c>
      <c r="L239" s="6" t="s">
        <v>1430</v>
      </c>
      <c r="M239" s="6" t="b">
        <v>0</v>
      </c>
      <c r="N239" s="6" t="s">
        <v>1431</v>
      </c>
      <c r="O239" s="6" t="s">
        <v>243</v>
      </c>
      <c r="P239" s="6" t="s">
        <v>28</v>
      </c>
      <c r="Q239" s="6" t="s">
        <v>1432</v>
      </c>
      <c r="R239" s="6" t="s">
        <v>871</v>
      </c>
      <c r="S239" s="5" t="s">
        <v>3323</v>
      </c>
      <c r="T239" s="10"/>
      <c r="U239" s="6"/>
    </row>
    <row r="240" spans="1:21" x14ac:dyDescent="0.2">
      <c r="A240" s="8">
        <v>5.4</v>
      </c>
      <c r="B240" s="5" t="s">
        <v>856</v>
      </c>
      <c r="C240" s="5" t="s">
        <v>863</v>
      </c>
      <c r="D240" s="6" t="s">
        <v>1433</v>
      </c>
      <c r="E240" s="6" t="s">
        <v>103</v>
      </c>
      <c r="F240" s="6" t="s">
        <v>120</v>
      </c>
      <c r="G240" s="5" t="s">
        <v>23</v>
      </c>
      <c r="H240" s="5"/>
      <c r="I240" s="5"/>
      <c r="J240" s="54">
        <v>0</v>
      </c>
      <c r="K240" s="6" t="s">
        <v>291</v>
      </c>
      <c r="L240" s="6" t="s">
        <v>1434</v>
      </c>
      <c r="M240" s="6" t="b">
        <v>0</v>
      </c>
      <c r="N240" s="6" t="s">
        <v>1435</v>
      </c>
      <c r="O240" s="6" t="s">
        <v>59</v>
      </c>
      <c r="P240" s="6" t="s">
        <v>28</v>
      </c>
      <c r="Q240" s="6" t="s">
        <v>1195</v>
      </c>
      <c r="R240" s="6" t="s">
        <v>871</v>
      </c>
      <c r="S240" s="5" t="s">
        <v>3323</v>
      </c>
      <c r="T240" s="10"/>
      <c r="U240" s="6"/>
    </row>
    <row r="241" spans="1:21" x14ac:dyDescent="0.2">
      <c r="A241" s="8">
        <v>5.39</v>
      </c>
      <c r="B241" s="5" t="s">
        <v>856</v>
      </c>
      <c r="C241" s="5" t="s">
        <v>101</v>
      </c>
      <c r="D241" s="6" t="s">
        <v>1436</v>
      </c>
      <c r="E241" s="6" t="s">
        <v>1437</v>
      </c>
      <c r="F241" s="6" t="s">
        <v>33</v>
      </c>
      <c r="G241" s="5" t="s">
        <v>104</v>
      </c>
      <c r="H241" s="5"/>
      <c r="I241" s="5"/>
      <c r="J241" s="54">
        <v>272500</v>
      </c>
      <c r="K241" s="6" t="s">
        <v>1438</v>
      </c>
      <c r="L241" s="6" t="s">
        <v>1439</v>
      </c>
      <c r="M241" s="6" t="b">
        <v>0</v>
      </c>
      <c r="N241" s="6" t="s">
        <v>1440</v>
      </c>
      <c r="O241" s="6" t="s">
        <v>1441</v>
      </c>
      <c r="P241" s="6" t="s">
        <v>1442</v>
      </c>
      <c r="Q241" s="6" t="s">
        <v>1443</v>
      </c>
      <c r="R241" s="6" t="s">
        <v>110</v>
      </c>
      <c r="S241" s="5" t="s">
        <v>3323</v>
      </c>
      <c r="T241" s="10"/>
      <c r="U241" s="6"/>
    </row>
    <row r="242" spans="1:21" x14ac:dyDescent="0.2">
      <c r="A242" s="8">
        <v>5.36</v>
      </c>
      <c r="B242" s="5" t="s">
        <v>856</v>
      </c>
      <c r="C242" s="5" t="s">
        <v>863</v>
      </c>
      <c r="D242" s="6" t="s">
        <v>1444</v>
      </c>
      <c r="E242" s="6" t="s">
        <v>1445</v>
      </c>
      <c r="F242" s="6" t="s">
        <v>33</v>
      </c>
      <c r="G242" s="5" t="s">
        <v>23</v>
      </c>
      <c r="H242" s="5"/>
      <c r="I242" s="5"/>
      <c r="J242" s="54">
        <v>0</v>
      </c>
      <c r="K242" s="6" t="s">
        <v>1446</v>
      </c>
      <c r="L242" s="6" t="s">
        <v>525</v>
      </c>
      <c r="M242" s="6" t="b">
        <v>0</v>
      </c>
      <c r="N242" s="6" t="s">
        <v>1447</v>
      </c>
      <c r="O242" s="6" t="s">
        <v>1448</v>
      </c>
      <c r="P242" s="6" t="s">
        <v>38</v>
      </c>
      <c r="Q242" s="6" t="s">
        <v>1449</v>
      </c>
      <c r="R242" s="6" t="s">
        <v>871</v>
      </c>
      <c r="S242" s="5" t="s">
        <v>3323</v>
      </c>
      <c r="T242" s="10"/>
      <c r="U242" s="6"/>
    </row>
    <row r="243" spans="1:21" x14ac:dyDescent="0.2">
      <c r="A243" s="8">
        <v>5.35</v>
      </c>
      <c r="B243" s="5" t="s">
        <v>856</v>
      </c>
      <c r="C243" s="5" t="s">
        <v>863</v>
      </c>
      <c r="D243" s="6" t="s">
        <v>1456</v>
      </c>
      <c r="E243" s="6" t="s">
        <v>406</v>
      </c>
      <c r="F243" s="6" t="s">
        <v>33</v>
      </c>
      <c r="G243" s="5" t="s">
        <v>23</v>
      </c>
      <c r="H243" s="5"/>
      <c r="I243" s="5"/>
      <c r="J243" s="54">
        <v>0</v>
      </c>
      <c r="K243" s="6" t="s">
        <v>1457</v>
      </c>
      <c r="L243" s="6" t="s">
        <v>1458</v>
      </c>
      <c r="M243" s="6" t="b">
        <v>0</v>
      </c>
      <c r="N243" s="6" t="s">
        <v>1459</v>
      </c>
      <c r="O243" s="6" t="s">
        <v>1460</v>
      </c>
      <c r="P243" s="6" t="s">
        <v>28</v>
      </c>
      <c r="Q243" s="6" t="s">
        <v>1461</v>
      </c>
      <c r="R243" s="6" t="s">
        <v>871</v>
      </c>
      <c r="S243" s="5" t="s">
        <v>3323</v>
      </c>
      <c r="T243" s="10"/>
      <c r="U243" s="6"/>
    </row>
    <row r="244" spans="1:21" hidden="1" x14ac:dyDescent="0.2">
      <c r="A244">
        <v>5.29</v>
      </c>
      <c r="B244" t="s">
        <v>514</v>
      </c>
      <c r="C244" t="s">
        <v>863</v>
      </c>
      <c r="D244" t="s">
        <v>1509</v>
      </c>
      <c r="E244" t="s">
        <v>103</v>
      </c>
      <c r="F244" t="s">
        <v>290</v>
      </c>
      <c r="G244" t="s">
        <v>23</v>
      </c>
      <c r="J244">
        <v>0</v>
      </c>
      <c r="K244" t="s">
        <v>291</v>
      </c>
      <c r="L244" t="s">
        <v>292</v>
      </c>
      <c r="M244" t="b">
        <v>0</v>
      </c>
      <c r="N244" t="s">
        <v>1510</v>
      </c>
      <c r="O244" t="s">
        <v>243</v>
      </c>
      <c r="P244" t="s">
        <v>1511</v>
      </c>
      <c r="Q244" t="s">
        <v>1512</v>
      </c>
      <c r="R244" t="s">
        <v>871</v>
      </c>
      <c r="S244" t="s">
        <v>3323</v>
      </c>
      <c r="T244" s="2"/>
    </row>
    <row r="245" spans="1:21" hidden="1" x14ac:dyDescent="0.2">
      <c r="A245">
        <v>5.29</v>
      </c>
      <c r="B245" t="s">
        <v>514</v>
      </c>
      <c r="C245" t="s">
        <v>19</v>
      </c>
      <c r="D245" t="s">
        <v>1513</v>
      </c>
      <c r="E245" t="s">
        <v>502</v>
      </c>
      <c r="F245" t="s">
        <v>33</v>
      </c>
      <c r="G245" t="s">
        <v>23</v>
      </c>
      <c r="H245" s="1">
        <v>46252</v>
      </c>
      <c r="I245">
        <v>4</v>
      </c>
      <c r="J245">
        <v>6350</v>
      </c>
      <c r="K245" t="s">
        <v>1514</v>
      </c>
      <c r="L245" t="s">
        <v>1515</v>
      </c>
      <c r="M245" t="b">
        <v>1</v>
      </c>
      <c r="N245" t="s">
        <v>805</v>
      </c>
      <c r="O245" t="s">
        <v>1516</v>
      </c>
      <c r="P245" t="s">
        <v>1517</v>
      </c>
      <c r="Q245" t="s">
        <v>1518</v>
      </c>
      <c r="R245" t="s">
        <v>1519</v>
      </c>
      <c r="S245" t="s">
        <v>3323</v>
      </c>
      <c r="T245" s="2"/>
    </row>
    <row r="246" spans="1:21" x14ac:dyDescent="0.2">
      <c r="A246" s="8">
        <v>5.35</v>
      </c>
      <c r="B246" s="5" t="s">
        <v>856</v>
      </c>
      <c r="C246" s="5" t="s">
        <v>101</v>
      </c>
      <c r="D246" s="6" t="s">
        <v>1462</v>
      </c>
      <c r="E246" s="6" t="s">
        <v>1463</v>
      </c>
      <c r="F246" s="6" t="s">
        <v>33</v>
      </c>
      <c r="G246" s="5" t="s">
        <v>104</v>
      </c>
      <c r="H246" s="5"/>
      <c r="I246" s="5"/>
      <c r="J246" s="54">
        <v>0</v>
      </c>
      <c r="K246" s="6" t="s">
        <v>1464</v>
      </c>
      <c r="L246" s="6" t="s">
        <v>59</v>
      </c>
      <c r="M246" s="6" t="b">
        <v>0</v>
      </c>
      <c r="N246" s="6" t="s">
        <v>28</v>
      </c>
      <c r="O246" s="6" t="s">
        <v>1465</v>
      </c>
      <c r="P246" s="6" t="s">
        <v>28</v>
      </c>
      <c r="Q246" s="6" t="s">
        <v>1466</v>
      </c>
      <c r="R246" s="6" t="s">
        <v>110</v>
      </c>
      <c r="S246" s="5" t="s">
        <v>3323</v>
      </c>
      <c r="T246" s="10"/>
      <c r="U246" s="6"/>
    </row>
    <row r="247" spans="1:21" hidden="1" x14ac:dyDescent="0.2">
      <c r="A247">
        <v>5.28</v>
      </c>
      <c r="B247" t="s">
        <v>514</v>
      </c>
      <c r="C247" t="s">
        <v>19</v>
      </c>
      <c r="D247" t="s">
        <v>1526</v>
      </c>
      <c r="E247" t="s">
        <v>1527</v>
      </c>
      <c r="F247" t="s">
        <v>427</v>
      </c>
      <c r="G247" t="s">
        <v>23</v>
      </c>
      <c r="H247" s="1">
        <v>46264</v>
      </c>
      <c r="I247">
        <v>16</v>
      </c>
      <c r="J247">
        <v>0</v>
      </c>
      <c r="K247" t="s">
        <v>1528</v>
      </c>
      <c r="L247" t="s">
        <v>1529</v>
      </c>
      <c r="M247" t="b">
        <v>1</v>
      </c>
      <c r="N247" t="s">
        <v>1530</v>
      </c>
      <c r="O247" t="s">
        <v>1531</v>
      </c>
      <c r="P247" t="s">
        <v>1532</v>
      </c>
      <c r="Q247" t="s">
        <v>1533</v>
      </c>
      <c r="R247" t="s">
        <v>225</v>
      </c>
      <c r="S247" t="s">
        <v>3323</v>
      </c>
      <c r="T247" s="2"/>
    </row>
    <row r="248" spans="1:21" x14ac:dyDescent="0.2">
      <c r="A248" s="8">
        <v>5.33</v>
      </c>
      <c r="B248" s="5" t="s">
        <v>856</v>
      </c>
      <c r="C248" s="5" t="s">
        <v>863</v>
      </c>
      <c r="D248" s="6" t="s">
        <v>1467</v>
      </c>
      <c r="E248" s="6" t="s">
        <v>1468</v>
      </c>
      <c r="F248" s="6" t="s">
        <v>73</v>
      </c>
      <c r="G248" s="5" t="s">
        <v>23</v>
      </c>
      <c r="H248" s="5"/>
      <c r="I248" s="5"/>
      <c r="J248" s="54">
        <v>0</v>
      </c>
      <c r="K248" s="6" t="s">
        <v>1469</v>
      </c>
      <c r="L248" s="6" t="s">
        <v>1470</v>
      </c>
      <c r="M248" s="6" t="b">
        <v>0</v>
      </c>
      <c r="N248" s="6" t="s">
        <v>1471</v>
      </c>
      <c r="O248" s="6" t="s">
        <v>1472</v>
      </c>
      <c r="P248" s="6" t="s">
        <v>38</v>
      </c>
      <c r="Q248" s="6" t="s">
        <v>1473</v>
      </c>
      <c r="R248" s="6" t="s">
        <v>871</v>
      </c>
      <c r="S248" s="5" t="s">
        <v>3323</v>
      </c>
      <c r="T248" s="10"/>
      <c r="U248" s="6"/>
    </row>
    <row r="249" spans="1:21" x14ac:dyDescent="0.2">
      <c r="A249" s="8">
        <v>5.32</v>
      </c>
      <c r="B249" s="5" t="s">
        <v>856</v>
      </c>
      <c r="C249" s="5" t="s">
        <v>863</v>
      </c>
      <c r="D249" s="6" t="s">
        <v>1474</v>
      </c>
      <c r="E249" s="6" t="s">
        <v>193</v>
      </c>
      <c r="F249" s="6" t="s">
        <v>810</v>
      </c>
      <c r="G249" s="5" t="s">
        <v>23</v>
      </c>
      <c r="H249" s="5"/>
      <c r="I249" s="5"/>
      <c r="J249" s="54">
        <v>0</v>
      </c>
      <c r="K249" s="6" t="s">
        <v>243</v>
      </c>
      <c r="L249" s="6" t="s">
        <v>1475</v>
      </c>
      <c r="M249" s="6" t="b">
        <v>0</v>
      </c>
      <c r="N249" s="6" t="s">
        <v>1476</v>
      </c>
      <c r="O249" s="6" t="s">
        <v>1477</v>
      </c>
      <c r="P249" s="6" t="s">
        <v>38</v>
      </c>
      <c r="Q249" s="6" t="s">
        <v>1478</v>
      </c>
      <c r="R249" s="6" t="s">
        <v>871</v>
      </c>
      <c r="S249" s="5" t="s">
        <v>3323</v>
      </c>
      <c r="T249" s="10"/>
      <c r="U249" s="6"/>
    </row>
    <row r="250" spans="1:21" x14ac:dyDescent="0.2">
      <c r="A250" s="8">
        <v>5.32</v>
      </c>
      <c r="B250" s="5" t="s">
        <v>856</v>
      </c>
      <c r="C250" s="5" t="s">
        <v>863</v>
      </c>
      <c r="D250" s="6" t="s">
        <v>1479</v>
      </c>
      <c r="E250" s="6" t="s">
        <v>103</v>
      </c>
      <c r="F250" s="6" t="s">
        <v>22</v>
      </c>
      <c r="G250" s="5" t="s">
        <v>23</v>
      </c>
      <c r="H250" s="5"/>
      <c r="I250" s="5"/>
      <c r="J250" s="54">
        <v>1000</v>
      </c>
      <c r="K250" s="6" t="s">
        <v>1480</v>
      </c>
      <c r="L250" s="6" t="s">
        <v>1481</v>
      </c>
      <c r="M250" s="6" t="b">
        <v>0</v>
      </c>
      <c r="N250" s="6" t="s">
        <v>1482</v>
      </c>
      <c r="O250" s="6" t="s">
        <v>1483</v>
      </c>
      <c r="P250" s="6" t="s">
        <v>28</v>
      </c>
      <c r="Q250" s="6" t="s">
        <v>1428</v>
      </c>
      <c r="R250" s="6" t="s">
        <v>871</v>
      </c>
      <c r="S250" s="5" t="s">
        <v>3323</v>
      </c>
      <c r="T250" s="10"/>
      <c r="U250" s="6"/>
    </row>
    <row r="251" spans="1:21" hidden="1" x14ac:dyDescent="0.2">
      <c r="A251">
        <v>5.27</v>
      </c>
      <c r="B251" t="s">
        <v>514</v>
      </c>
      <c r="C251" t="s">
        <v>863</v>
      </c>
      <c r="D251" t="s">
        <v>1548</v>
      </c>
      <c r="E251" t="s">
        <v>1549</v>
      </c>
      <c r="F251" t="s">
        <v>22</v>
      </c>
      <c r="G251" t="s">
        <v>23</v>
      </c>
      <c r="J251">
        <v>0</v>
      </c>
      <c r="K251" t="s">
        <v>1550</v>
      </c>
      <c r="L251" t="s">
        <v>1551</v>
      </c>
      <c r="M251" t="b">
        <v>0</v>
      </c>
      <c r="N251" t="s">
        <v>1552</v>
      </c>
      <c r="O251" t="s">
        <v>1553</v>
      </c>
      <c r="P251" t="s">
        <v>1554</v>
      </c>
      <c r="Q251" t="s">
        <v>1555</v>
      </c>
      <c r="R251" t="s">
        <v>871</v>
      </c>
      <c r="S251" t="s">
        <v>3323</v>
      </c>
      <c r="T251" s="2"/>
    </row>
    <row r="252" spans="1:21" x14ac:dyDescent="0.2">
      <c r="A252" s="8">
        <v>5.32</v>
      </c>
      <c r="B252" s="5" t="s">
        <v>856</v>
      </c>
      <c r="C252" s="5" t="s">
        <v>863</v>
      </c>
      <c r="D252" s="6" t="s">
        <v>1484</v>
      </c>
      <c r="E252" s="6" t="s">
        <v>1485</v>
      </c>
      <c r="F252" s="6" t="s">
        <v>22</v>
      </c>
      <c r="G252" s="5" t="s">
        <v>23</v>
      </c>
      <c r="H252" s="5"/>
      <c r="I252" s="5"/>
      <c r="J252" s="54">
        <v>0</v>
      </c>
      <c r="K252" s="6" t="s">
        <v>1486</v>
      </c>
      <c r="L252" s="6" t="s">
        <v>1487</v>
      </c>
      <c r="M252" s="6" t="b">
        <v>0</v>
      </c>
      <c r="N252" s="6" t="s">
        <v>1488</v>
      </c>
      <c r="O252" s="6" t="s">
        <v>1489</v>
      </c>
      <c r="P252" s="6" t="s">
        <v>1490</v>
      </c>
      <c r="Q252" s="6" t="s">
        <v>1491</v>
      </c>
      <c r="R252" s="6" t="s">
        <v>871</v>
      </c>
      <c r="S252" s="5" t="s">
        <v>3323</v>
      </c>
      <c r="T252" s="10"/>
      <c r="U252" s="6"/>
    </row>
    <row r="253" spans="1:21" x14ac:dyDescent="0.2">
      <c r="A253" s="8">
        <v>5.31</v>
      </c>
      <c r="B253" s="5" t="s">
        <v>856</v>
      </c>
      <c r="C253" s="5" t="s">
        <v>863</v>
      </c>
      <c r="D253" s="6" t="s">
        <v>1492</v>
      </c>
      <c r="E253" s="6" t="s">
        <v>1263</v>
      </c>
      <c r="F253" s="6" t="s">
        <v>73</v>
      </c>
      <c r="G253" s="5" t="s">
        <v>23</v>
      </c>
      <c r="H253" s="5"/>
      <c r="I253" s="5"/>
      <c r="J253" s="54">
        <v>0</v>
      </c>
      <c r="K253" s="6" t="s">
        <v>1493</v>
      </c>
      <c r="L253" s="6" t="s">
        <v>1494</v>
      </c>
      <c r="M253" s="6" t="b">
        <v>0</v>
      </c>
      <c r="N253" s="6" t="s">
        <v>1495</v>
      </c>
      <c r="O253" s="6" t="s">
        <v>1496</v>
      </c>
      <c r="P253" s="6" t="s">
        <v>28</v>
      </c>
      <c r="Q253" s="6" t="s">
        <v>1497</v>
      </c>
      <c r="R253" s="6" t="s">
        <v>871</v>
      </c>
      <c r="S253" s="5" t="s">
        <v>3323</v>
      </c>
      <c r="T253" s="10"/>
      <c r="U253" s="6"/>
    </row>
    <row r="254" spans="1:21" x14ac:dyDescent="0.2">
      <c r="A254" s="8">
        <v>5.3</v>
      </c>
      <c r="B254" s="5" t="s">
        <v>856</v>
      </c>
      <c r="C254" s="5" t="s">
        <v>101</v>
      </c>
      <c r="D254" s="6" t="s">
        <v>1498</v>
      </c>
      <c r="E254" s="6" t="s">
        <v>103</v>
      </c>
      <c r="F254" s="6" t="s">
        <v>120</v>
      </c>
      <c r="G254" s="5" t="s">
        <v>104</v>
      </c>
      <c r="H254" s="5"/>
      <c r="I254" s="5"/>
      <c r="J254" s="54">
        <v>250000</v>
      </c>
      <c r="K254" s="6" t="s">
        <v>1499</v>
      </c>
      <c r="L254" s="6" t="s">
        <v>1500</v>
      </c>
      <c r="M254" s="6" t="b">
        <v>0</v>
      </c>
      <c r="N254" s="6" t="s">
        <v>1501</v>
      </c>
      <c r="O254" s="6" t="s">
        <v>1502</v>
      </c>
      <c r="P254" s="6" t="s">
        <v>28</v>
      </c>
      <c r="Q254" s="6" t="s">
        <v>1503</v>
      </c>
      <c r="R254" s="6" t="s">
        <v>110</v>
      </c>
      <c r="S254" s="5" t="s">
        <v>3323</v>
      </c>
      <c r="T254" s="10"/>
      <c r="U254" s="6"/>
    </row>
    <row r="255" spans="1:21" x14ac:dyDescent="0.2">
      <c r="A255" s="8">
        <v>5.28</v>
      </c>
      <c r="B255" s="5" t="s">
        <v>856</v>
      </c>
      <c r="C255" s="5" t="s">
        <v>101</v>
      </c>
      <c r="D255" s="6" t="s">
        <v>1520</v>
      </c>
      <c r="E255" s="6" t="s">
        <v>1521</v>
      </c>
      <c r="F255" s="6" t="s">
        <v>427</v>
      </c>
      <c r="G255" s="5" t="s">
        <v>104</v>
      </c>
      <c r="H255" s="5"/>
      <c r="I255" s="5"/>
      <c r="J255" s="54">
        <v>2159000</v>
      </c>
      <c r="K255" s="6" t="s">
        <v>1522</v>
      </c>
      <c r="L255" s="6" t="s">
        <v>525</v>
      </c>
      <c r="M255" s="6" t="b">
        <v>0</v>
      </c>
      <c r="N255" s="6" t="s">
        <v>1523</v>
      </c>
      <c r="O255" s="6" t="s">
        <v>1524</v>
      </c>
      <c r="P255" s="6"/>
      <c r="Q255" s="6" t="s">
        <v>1525</v>
      </c>
      <c r="R255" s="6" t="s">
        <v>110</v>
      </c>
      <c r="S255" s="5" t="s">
        <v>3323</v>
      </c>
      <c r="T255" s="10"/>
      <c r="U255" s="6"/>
    </row>
    <row r="256" spans="1:21" x14ac:dyDescent="0.2">
      <c r="A256" s="8">
        <v>5.28</v>
      </c>
      <c r="B256" s="5" t="s">
        <v>856</v>
      </c>
      <c r="C256" s="5" t="s">
        <v>101</v>
      </c>
      <c r="D256" s="6" t="s">
        <v>1534</v>
      </c>
      <c r="E256" s="6" t="s">
        <v>103</v>
      </c>
      <c r="F256" s="6" t="s">
        <v>290</v>
      </c>
      <c r="G256" s="5" t="s">
        <v>104</v>
      </c>
      <c r="H256" s="5"/>
      <c r="I256" s="5"/>
      <c r="J256" s="54">
        <v>0</v>
      </c>
      <c r="K256" s="6" t="s">
        <v>1535</v>
      </c>
      <c r="L256" s="6" t="s">
        <v>1536</v>
      </c>
      <c r="M256" s="6" t="b">
        <v>0</v>
      </c>
      <c r="N256" s="6" t="s">
        <v>882</v>
      </c>
      <c r="O256" s="6" t="s">
        <v>243</v>
      </c>
      <c r="P256" s="6" t="s">
        <v>28</v>
      </c>
      <c r="Q256" s="6" t="s">
        <v>1537</v>
      </c>
      <c r="R256" s="6" t="s">
        <v>110</v>
      </c>
      <c r="S256" s="5" t="s">
        <v>3323</v>
      </c>
      <c r="T256" s="10"/>
      <c r="U256" s="6"/>
    </row>
    <row r="257" spans="1:21" hidden="1" x14ac:dyDescent="0.2">
      <c r="A257">
        <v>5.24</v>
      </c>
      <c r="B257" t="s">
        <v>514</v>
      </c>
      <c r="C257" t="s">
        <v>101</v>
      </c>
      <c r="D257" t="s">
        <v>1585</v>
      </c>
      <c r="E257" t="s">
        <v>1586</v>
      </c>
      <c r="F257" t="s">
        <v>427</v>
      </c>
      <c r="G257" t="s">
        <v>104</v>
      </c>
      <c r="J257">
        <v>1090000</v>
      </c>
      <c r="K257" t="s">
        <v>1587</v>
      </c>
      <c r="L257" t="s">
        <v>525</v>
      </c>
      <c r="M257" t="b">
        <v>1</v>
      </c>
      <c r="N257" t="s">
        <v>1588</v>
      </c>
      <c r="O257" t="s">
        <v>1589</v>
      </c>
      <c r="P257" t="s">
        <v>1590</v>
      </c>
      <c r="Q257" t="s">
        <v>1591</v>
      </c>
      <c r="R257" t="s">
        <v>110</v>
      </c>
      <c r="S257" t="s">
        <v>3323</v>
      </c>
      <c r="T257" s="2"/>
    </row>
    <row r="258" spans="1:21" x14ac:dyDescent="0.2">
      <c r="A258" s="8">
        <v>5.27</v>
      </c>
      <c r="B258" s="5" t="s">
        <v>856</v>
      </c>
      <c r="C258" s="5" t="s">
        <v>863</v>
      </c>
      <c r="D258" s="6" t="s">
        <v>1538</v>
      </c>
      <c r="E258" s="6" t="s">
        <v>1030</v>
      </c>
      <c r="F258" s="6" t="s">
        <v>33</v>
      </c>
      <c r="G258" s="5" t="s">
        <v>23</v>
      </c>
      <c r="H258" s="5"/>
      <c r="I258" s="5"/>
      <c r="J258" s="54">
        <v>0</v>
      </c>
      <c r="K258" s="6" t="s">
        <v>1539</v>
      </c>
      <c r="L258" s="6" t="s">
        <v>1540</v>
      </c>
      <c r="M258" s="6" t="b">
        <v>0</v>
      </c>
      <c r="N258" s="6" t="s">
        <v>1541</v>
      </c>
      <c r="O258" s="6" t="s">
        <v>1542</v>
      </c>
      <c r="P258" s="6" t="s">
        <v>28</v>
      </c>
      <c r="Q258" s="6" t="s">
        <v>1543</v>
      </c>
      <c r="R258" s="6" t="s">
        <v>871</v>
      </c>
      <c r="S258" s="5" t="s">
        <v>3323</v>
      </c>
      <c r="T258" s="10"/>
      <c r="U258" s="6"/>
    </row>
    <row r="259" spans="1:21" hidden="1" x14ac:dyDescent="0.2">
      <c r="A259">
        <v>5.24</v>
      </c>
      <c r="B259" t="s">
        <v>514</v>
      </c>
      <c r="C259" t="s">
        <v>863</v>
      </c>
      <c r="D259" t="s">
        <v>1596</v>
      </c>
      <c r="E259" t="s">
        <v>103</v>
      </c>
      <c r="F259" t="s">
        <v>290</v>
      </c>
      <c r="G259" t="s">
        <v>23</v>
      </c>
      <c r="J259">
        <v>0</v>
      </c>
      <c r="K259" t="s">
        <v>291</v>
      </c>
      <c r="L259" t="s">
        <v>292</v>
      </c>
      <c r="M259" t="b">
        <v>0</v>
      </c>
      <c r="N259" t="s">
        <v>1597</v>
      </c>
      <c r="O259" t="s">
        <v>243</v>
      </c>
      <c r="P259" t="s">
        <v>1598</v>
      </c>
      <c r="Q259" t="s">
        <v>1599</v>
      </c>
      <c r="R259" t="s">
        <v>871</v>
      </c>
      <c r="S259" t="s">
        <v>3323</v>
      </c>
      <c r="T259" s="2"/>
    </row>
    <row r="260" spans="1:21" hidden="1" x14ac:dyDescent="0.2">
      <c r="A260">
        <v>5.24</v>
      </c>
      <c r="B260" t="s">
        <v>514</v>
      </c>
      <c r="C260" t="s">
        <v>863</v>
      </c>
      <c r="D260" t="s">
        <v>1600</v>
      </c>
      <c r="E260" t="s">
        <v>103</v>
      </c>
      <c r="F260" t="s">
        <v>290</v>
      </c>
      <c r="G260" t="s">
        <v>23</v>
      </c>
      <c r="J260">
        <v>0</v>
      </c>
      <c r="K260" t="s">
        <v>291</v>
      </c>
      <c r="L260" t="s">
        <v>292</v>
      </c>
      <c r="M260" t="b">
        <v>0</v>
      </c>
      <c r="N260" t="s">
        <v>1601</v>
      </c>
      <c r="O260" t="s">
        <v>243</v>
      </c>
      <c r="P260" t="s">
        <v>1602</v>
      </c>
      <c r="Q260" t="s">
        <v>1603</v>
      </c>
      <c r="R260" t="s">
        <v>871</v>
      </c>
      <c r="S260" t="s">
        <v>3323</v>
      </c>
      <c r="T260" s="2"/>
    </row>
    <row r="261" spans="1:21" x14ac:dyDescent="0.2">
      <c r="A261" s="8">
        <v>5.27</v>
      </c>
      <c r="B261" s="5" t="s">
        <v>856</v>
      </c>
      <c r="C261" s="5" t="s">
        <v>101</v>
      </c>
      <c r="D261" s="6" t="s">
        <v>1544</v>
      </c>
      <c r="E261" s="6" t="s">
        <v>502</v>
      </c>
      <c r="F261" s="6" t="s">
        <v>22</v>
      </c>
      <c r="G261" s="5" t="s">
        <v>104</v>
      </c>
      <c r="H261" s="5"/>
      <c r="I261" s="5"/>
      <c r="J261" s="54">
        <v>2540000</v>
      </c>
      <c r="K261" s="6" t="s">
        <v>1147</v>
      </c>
      <c r="L261" s="6" t="s">
        <v>1545</v>
      </c>
      <c r="M261" s="6" t="b">
        <v>1</v>
      </c>
      <c r="N261" s="6" t="s">
        <v>1546</v>
      </c>
      <c r="O261" s="6" t="s">
        <v>1547</v>
      </c>
      <c r="P261" s="6"/>
      <c r="Q261" s="6" t="s">
        <v>507</v>
      </c>
      <c r="R261" s="6" t="s">
        <v>110</v>
      </c>
      <c r="S261" s="5" t="s">
        <v>3323</v>
      </c>
      <c r="T261" s="10"/>
      <c r="U261" s="6"/>
    </row>
    <row r="262" spans="1:21" x14ac:dyDescent="0.2">
      <c r="A262" s="8">
        <v>5.26</v>
      </c>
      <c r="B262" s="5" t="s">
        <v>856</v>
      </c>
      <c r="C262" s="5" t="s">
        <v>863</v>
      </c>
      <c r="D262" s="6" t="s">
        <v>1556</v>
      </c>
      <c r="E262" s="6" t="s">
        <v>1557</v>
      </c>
      <c r="F262" s="6" t="s">
        <v>810</v>
      </c>
      <c r="G262" s="5" t="s">
        <v>23</v>
      </c>
      <c r="H262" s="5"/>
      <c r="I262" s="5"/>
      <c r="J262" s="54">
        <v>0</v>
      </c>
      <c r="K262" s="6" t="s">
        <v>1558</v>
      </c>
      <c r="L262" s="6" t="s">
        <v>1559</v>
      </c>
      <c r="M262" s="6" t="b">
        <v>0</v>
      </c>
      <c r="N262" s="6" t="s">
        <v>1560</v>
      </c>
      <c r="O262" s="6" t="s">
        <v>1561</v>
      </c>
      <c r="P262" s="6" t="s">
        <v>38</v>
      </c>
      <c r="Q262" s="6" t="s">
        <v>1562</v>
      </c>
      <c r="R262" s="6" t="s">
        <v>871</v>
      </c>
      <c r="S262" s="5" t="s">
        <v>3323</v>
      </c>
      <c r="T262" s="10"/>
      <c r="U262" s="6"/>
    </row>
    <row r="263" spans="1:21" x14ac:dyDescent="0.2">
      <c r="A263" s="8">
        <v>5.26</v>
      </c>
      <c r="B263" s="5" t="s">
        <v>856</v>
      </c>
      <c r="C263" s="5" t="s">
        <v>863</v>
      </c>
      <c r="D263" s="6" t="s">
        <v>1563</v>
      </c>
      <c r="E263" s="6" t="s">
        <v>1564</v>
      </c>
      <c r="F263" s="6" t="s">
        <v>810</v>
      </c>
      <c r="G263" s="5" t="s">
        <v>23</v>
      </c>
      <c r="H263" s="5"/>
      <c r="I263" s="5"/>
      <c r="J263" s="54">
        <v>0</v>
      </c>
      <c r="K263" s="6" t="s">
        <v>1565</v>
      </c>
      <c r="L263" s="6" t="s">
        <v>928</v>
      </c>
      <c r="M263" s="6" t="b">
        <v>0</v>
      </c>
      <c r="N263" s="6" t="s">
        <v>1566</v>
      </c>
      <c r="O263" s="6" t="s">
        <v>243</v>
      </c>
      <c r="P263" s="6" t="s">
        <v>38</v>
      </c>
      <c r="Q263" s="6" t="s">
        <v>1567</v>
      </c>
      <c r="R263" s="6" t="s">
        <v>871</v>
      </c>
      <c r="S263" s="5" t="s">
        <v>3323</v>
      </c>
      <c r="T263" s="10"/>
      <c r="U263" s="6"/>
    </row>
    <row r="264" spans="1:21" x14ac:dyDescent="0.2">
      <c r="A264" s="8">
        <v>5.26</v>
      </c>
      <c r="B264" s="5" t="s">
        <v>856</v>
      </c>
      <c r="C264" s="5" t="s">
        <v>863</v>
      </c>
      <c r="D264" s="6" t="s">
        <v>1568</v>
      </c>
      <c r="E264" s="6" t="s">
        <v>1569</v>
      </c>
      <c r="F264" s="6" t="s">
        <v>33</v>
      </c>
      <c r="G264" s="5" t="s">
        <v>23</v>
      </c>
      <c r="H264" s="5"/>
      <c r="I264" s="5"/>
      <c r="J264" s="54">
        <v>0</v>
      </c>
      <c r="K264" s="6" t="s">
        <v>1570</v>
      </c>
      <c r="L264" s="6" t="s">
        <v>44</v>
      </c>
      <c r="M264" s="6" t="b">
        <v>0</v>
      </c>
      <c r="N264" s="6" t="s">
        <v>210</v>
      </c>
      <c r="O264" s="6" t="s">
        <v>1571</v>
      </c>
      <c r="P264" s="6" t="s">
        <v>92</v>
      </c>
      <c r="Q264" s="6" t="s">
        <v>1572</v>
      </c>
      <c r="R264" s="6" t="s">
        <v>871</v>
      </c>
      <c r="S264" s="5" t="s">
        <v>3323</v>
      </c>
      <c r="T264" s="10"/>
      <c r="U264" s="6"/>
    </row>
    <row r="265" spans="1:21" x14ac:dyDescent="0.2">
      <c r="A265" s="8">
        <v>5.26</v>
      </c>
      <c r="B265" s="5" t="s">
        <v>856</v>
      </c>
      <c r="C265" s="5" t="s">
        <v>863</v>
      </c>
      <c r="D265" s="6" t="s">
        <v>1573</v>
      </c>
      <c r="E265" s="6" t="s">
        <v>1574</v>
      </c>
      <c r="F265" s="6" t="s">
        <v>810</v>
      </c>
      <c r="G265" s="5" t="s">
        <v>23</v>
      </c>
      <c r="H265" s="5"/>
      <c r="I265" s="5"/>
      <c r="J265" s="54">
        <v>0</v>
      </c>
      <c r="K265" s="6" t="s">
        <v>1575</v>
      </c>
      <c r="L265" s="6" t="s">
        <v>1545</v>
      </c>
      <c r="M265" s="6" t="b">
        <v>0</v>
      </c>
      <c r="N265" s="6" t="s">
        <v>1576</v>
      </c>
      <c r="O265" s="6" t="s">
        <v>1577</v>
      </c>
      <c r="P265" s="6" t="s">
        <v>28</v>
      </c>
      <c r="Q265" s="6" t="s">
        <v>1578</v>
      </c>
      <c r="R265" s="6" t="s">
        <v>871</v>
      </c>
      <c r="S265" s="5" t="s">
        <v>3323</v>
      </c>
      <c r="T265" s="10"/>
      <c r="U265" s="6"/>
    </row>
    <row r="266" spans="1:21" hidden="1" x14ac:dyDescent="0.2">
      <c r="A266">
        <v>5.17</v>
      </c>
      <c r="B266" t="s">
        <v>514</v>
      </c>
      <c r="C266" t="s">
        <v>863</v>
      </c>
      <c r="D266" t="s">
        <v>1637</v>
      </c>
      <c r="E266" t="s">
        <v>1638</v>
      </c>
      <c r="F266" t="s">
        <v>427</v>
      </c>
      <c r="G266" t="s">
        <v>23</v>
      </c>
      <c r="J266">
        <v>5000000</v>
      </c>
      <c r="K266" t="s">
        <v>1639</v>
      </c>
      <c r="L266" t="s">
        <v>59</v>
      </c>
      <c r="M266" t="b">
        <v>1</v>
      </c>
      <c r="N266" t="s">
        <v>1640</v>
      </c>
      <c r="O266" t="s">
        <v>1638</v>
      </c>
      <c r="P266" t="s">
        <v>1641</v>
      </c>
      <c r="Q266" t="s">
        <v>1642</v>
      </c>
      <c r="R266" t="s">
        <v>871</v>
      </c>
      <c r="S266" t="s">
        <v>3323</v>
      </c>
      <c r="T266" s="2"/>
    </row>
    <row r="267" spans="1:21" x14ac:dyDescent="0.2">
      <c r="A267" s="8">
        <v>5.25</v>
      </c>
      <c r="B267" s="5" t="s">
        <v>856</v>
      </c>
      <c r="C267" s="5" t="s">
        <v>863</v>
      </c>
      <c r="D267" s="6" t="s">
        <v>1579</v>
      </c>
      <c r="E267" s="6" t="s">
        <v>1580</v>
      </c>
      <c r="F267" s="6" t="s">
        <v>427</v>
      </c>
      <c r="G267" s="5" t="s">
        <v>23</v>
      </c>
      <c r="H267" s="5"/>
      <c r="I267" s="5"/>
      <c r="J267" s="54">
        <v>0</v>
      </c>
      <c r="K267" s="6" t="s">
        <v>59</v>
      </c>
      <c r="L267" s="6" t="s">
        <v>1581</v>
      </c>
      <c r="M267" s="6" t="b">
        <v>0</v>
      </c>
      <c r="N267" s="6" t="s">
        <v>1582</v>
      </c>
      <c r="O267" s="6" t="s">
        <v>1583</v>
      </c>
      <c r="P267" s="6" t="s">
        <v>38</v>
      </c>
      <c r="Q267" s="6" t="s">
        <v>1584</v>
      </c>
      <c r="R267" s="6" t="s">
        <v>871</v>
      </c>
      <c r="S267" s="5" t="s">
        <v>3323</v>
      </c>
      <c r="T267" s="10"/>
      <c r="U267" s="6"/>
    </row>
    <row r="268" spans="1:21" x14ac:dyDescent="0.2">
      <c r="A268" s="8">
        <v>5.24</v>
      </c>
      <c r="B268" s="5" t="s">
        <v>856</v>
      </c>
      <c r="C268" s="5" t="s">
        <v>101</v>
      </c>
      <c r="D268" s="6" t="s">
        <v>1592</v>
      </c>
      <c r="E268" s="6" t="s">
        <v>103</v>
      </c>
      <c r="F268" s="6" t="s">
        <v>290</v>
      </c>
      <c r="G268" s="5" t="s">
        <v>104</v>
      </c>
      <c r="H268" s="5"/>
      <c r="I268" s="5"/>
      <c r="J268" s="54">
        <v>0</v>
      </c>
      <c r="K268" s="6" t="s">
        <v>291</v>
      </c>
      <c r="L268" s="6" t="s">
        <v>210</v>
      </c>
      <c r="M268" s="6" t="b">
        <v>0</v>
      </c>
      <c r="N268" s="6" t="s">
        <v>1593</v>
      </c>
      <c r="O268" s="6" t="s">
        <v>1594</v>
      </c>
      <c r="P268" s="6" t="s">
        <v>28</v>
      </c>
      <c r="Q268" s="6" t="s">
        <v>1595</v>
      </c>
      <c r="R268" s="6" t="s">
        <v>110</v>
      </c>
      <c r="S268" s="5" t="s">
        <v>3323</v>
      </c>
      <c r="T268" s="10"/>
      <c r="U268" s="6"/>
    </row>
    <row r="269" spans="1:21" x14ac:dyDescent="0.2">
      <c r="A269" s="8">
        <v>5.22</v>
      </c>
      <c r="B269" s="5" t="s">
        <v>856</v>
      </c>
      <c r="C269" s="5" t="s">
        <v>863</v>
      </c>
      <c r="D269" s="6" t="s">
        <v>1604</v>
      </c>
      <c r="E269" s="6" t="s">
        <v>1605</v>
      </c>
      <c r="F269" s="6" t="s">
        <v>73</v>
      </c>
      <c r="G269" s="5" t="s">
        <v>23</v>
      </c>
      <c r="H269" s="5"/>
      <c r="I269" s="5"/>
      <c r="J269" s="54">
        <v>0</v>
      </c>
      <c r="K269" s="6" t="s">
        <v>1606</v>
      </c>
      <c r="L269" s="6" t="s">
        <v>1607</v>
      </c>
      <c r="M269" s="6" t="b">
        <v>0</v>
      </c>
      <c r="N269" s="6" t="s">
        <v>1608</v>
      </c>
      <c r="O269" s="6" t="s">
        <v>1609</v>
      </c>
      <c r="P269" s="6" t="s">
        <v>28</v>
      </c>
      <c r="Q269" s="6" t="s">
        <v>1610</v>
      </c>
      <c r="R269" s="6" t="s">
        <v>871</v>
      </c>
      <c r="S269" s="5" t="s">
        <v>3323</v>
      </c>
      <c r="T269" s="10"/>
      <c r="U269" s="6"/>
    </row>
    <row r="270" spans="1:21" hidden="1" x14ac:dyDescent="0.2">
      <c r="A270">
        <v>5.16</v>
      </c>
      <c r="B270" t="s">
        <v>514</v>
      </c>
      <c r="C270" t="s">
        <v>863</v>
      </c>
      <c r="D270" t="s">
        <v>1661</v>
      </c>
      <c r="E270" t="s">
        <v>103</v>
      </c>
      <c r="F270" t="s">
        <v>290</v>
      </c>
      <c r="G270" t="s">
        <v>23</v>
      </c>
      <c r="J270">
        <v>0</v>
      </c>
      <c r="K270" t="s">
        <v>291</v>
      </c>
      <c r="L270" t="s">
        <v>1662</v>
      </c>
      <c r="M270" t="b">
        <v>0</v>
      </c>
      <c r="N270" t="s">
        <v>1181</v>
      </c>
      <c r="O270" t="s">
        <v>243</v>
      </c>
      <c r="P270" t="s">
        <v>1663</v>
      </c>
      <c r="Q270" t="s">
        <v>1664</v>
      </c>
      <c r="R270" t="s">
        <v>871</v>
      </c>
      <c r="S270" t="s">
        <v>3323</v>
      </c>
      <c r="T270" s="2"/>
    </row>
    <row r="271" spans="1:21" x14ac:dyDescent="0.2">
      <c r="A271" s="8">
        <v>5.21</v>
      </c>
      <c r="B271" s="5" t="s">
        <v>856</v>
      </c>
      <c r="C271" s="5" t="s">
        <v>863</v>
      </c>
      <c r="D271" s="6" t="s">
        <v>1611</v>
      </c>
      <c r="E271" s="6" t="s">
        <v>1612</v>
      </c>
      <c r="F271" s="6" t="s">
        <v>120</v>
      </c>
      <c r="G271" s="5" t="s">
        <v>23</v>
      </c>
      <c r="H271" s="5"/>
      <c r="I271" s="5"/>
      <c r="J271" s="54">
        <v>0</v>
      </c>
      <c r="K271" s="6" t="s">
        <v>1613</v>
      </c>
      <c r="L271" s="6" t="s">
        <v>1614</v>
      </c>
      <c r="M271" s="6" t="b">
        <v>0</v>
      </c>
      <c r="N271" s="6" t="s">
        <v>1615</v>
      </c>
      <c r="O271" s="6" t="s">
        <v>1616</v>
      </c>
      <c r="P271" s="6" t="s">
        <v>38</v>
      </c>
      <c r="Q271" s="6" t="s">
        <v>1617</v>
      </c>
      <c r="R271" s="6" t="s">
        <v>871</v>
      </c>
      <c r="S271" s="5" t="s">
        <v>3323</v>
      </c>
      <c r="T271" s="10"/>
      <c r="U271" s="6"/>
    </row>
    <row r="272" spans="1:21" x14ac:dyDescent="0.2">
      <c r="A272" s="8">
        <v>5.19</v>
      </c>
      <c r="B272" s="5" t="s">
        <v>856</v>
      </c>
      <c r="C272" s="5" t="s">
        <v>863</v>
      </c>
      <c r="D272" s="6" t="s">
        <v>1618</v>
      </c>
      <c r="E272" s="6" t="s">
        <v>1619</v>
      </c>
      <c r="F272" s="6" t="s">
        <v>427</v>
      </c>
      <c r="G272" s="5" t="s">
        <v>23</v>
      </c>
      <c r="H272" s="5"/>
      <c r="I272" s="5"/>
      <c r="J272" s="54">
        <v>0</v>
      </c>
      <c r="K272" s="6" t="s">
        <v>817</v>
      </c>
      <c r="L272" s="6" t="s">
        <v>1620</v>
      </c>
      <c r="M272" s="6" t="b">
        <v>0</v>
      </c>
      <c r="N272" s="6" t="s">
        <v>1621</v>
      </c>
      <c r="O272" s="6" t="s">
        <v>1622</v>
      </c>
      <c r="P272" s="6" t="s">
        <v>38</v>
      </c>
      <c r="Q272" s="6" t="s">
        <v>1623</v>
      </c>
      <c r="R272" s="6" t="s">
        <v>871</v>
      </c>
      <c r="S272" s="5" t="s">
        <v>3323</v>
      </c>
      <c r="T272" s="10"/>
      <c r="U272" s="6"/>
    </row>
    <row r="273" spans="1:21" x14ac:dyDescent="0.2">
      <c r="A273" s="8">
        <v>5.18</v>
      </c>
      <c r="B273" s="5" t="s">
        <v>856</v>
      </c>
      <c r="C273" s="5" t="s">
        <v>863</v>
      </c>
      <c r="D273" s="6" t="s">
        <v>1624</v>
      </c>
      <c r="E273" s="6" t="s">
        <v>265</v>
      </c>
      <c r="F273" s="6" t="s">
        <v>33</v>
      </c>
      <c r="G273" s="5" t="s">
        <v>23</v>
      </c>
      <c r="H273" s="5"/>
      <c r="I273" s="5"/>
      <c r="J273" s="54">
        <v>0</v>
      </c>
      <c r="K273" s="6" t="s">
        <v>1625</v>
      </c>
      <c r="L273" s="6" t="s">
        <v>1626</v>
      </c>
      <c r="M273" s="6" t="b">
        <v>0</v>
      </c>
      <c r="N273" s="6" t="s">
        <v>1627</v>
      </c>
      <c r="O273" s="6" t="s">
        <v>1628</v>
      </c>
      <c r="P273" s="6" t="s">
        <v>38</v>
      </c>
      <c r="Q273" s="6" t="s">
        <v>1629</v>
      </c>
      <c r="R273" s="6" t="s">
        <v>871</v>
      </c>
      <c r="S273" s="5" t="s">
        <v>3323</v>
      </c>
      <c r="T273" s="10"/>
      <c r="U273" s="6"/>
    </row>
    <row r="274" spans="1:21" hidden="1" x14ac:dyDescent="0.2">
      <c r="A274">
        <v>5.15</v>
      </c>
      <c r="B274" t="s">
        <v>514</v>
      </c>
      <c r="C274" t="s">
        <v>863</v>
      </c>
      <c r="D274" t="s">
        <v>1683</v>
      </c>
      <c r="E274" t="s">
        <v>103</v>
      </c>
      <c r="F274" t="s">
        <v>290</v>
      </c>
      <c r="G274" t="s">
        <v>23</v>
      </c>
      <c r="J274">
        <v>0</v>
      </c>
      <c r="K274" t="s">
        <v>291</v>
      </c>
      <c r="L274" t="s">
        <v>853</v>
      </c>
      <c r="M274" t="b">
        <v>1</v>
      </c>
      <c r="N274" t="s">
        <v>1684</v>
      </c>
      <c r="O274" t="s">
        <v>274</v>
      </c>
      <c r="P274" t="s">
        <v>1685</v>
      </c>
      <c r="Q274" t="s">
        <v>1686</v>
      </c>
      <c r="R274" t="s">
        <v>871</v>
      </c>
      <c r="S274" t="s">
        <v>3323</v>
      </c>
      <c r="T274" s="2"/>
    </row>
    <row r="275" spans="1:21" x14ac:dyDescent="0.2">
      <c r="A275" s="8">
        <v>5.18</v>
      </c>
      <c r="B275" s="5" t="s">
        <v>856</v>
      </c>
      <c r="C275" s="5" t="s">
        <v>101</v>
      </c>
      <c r="D275" s="6" t="s">
        <v>1630</v>
      </c>
      <c r="E275" s="6" t="s">
        <v>1631</v>
      </c>
      <c r="F275" s="6" t="s">
        <v>120</v>
      </c>
      <c r="G275" s="5" t="s">
        <v>104</v>
      </c>
      <c r="H275" s="5"/>
      <c r="I275" s="5"/>
      <c r="J275" s="54">
        <v>25000</v>
      </c>
      <c r="K275" s="6" t="s">
        <v>1632</v>
      </c>
      <c r="L275" s="6" t="s">
        <v>1633</v>
      </c>
      <c r="M275" s="6" t="b">
        <v>0</v>
      </c>
      <c r="N275" s="6" t="s">
        <v>1634</v>
      </c>
      <c r="O275" s="6" t="s">
        <v>1635</v>
      </c>
      <c r="P275" s="6" t="s">
        <v>28</v>
      </c>
      <c r="Q275" s="6" t="s">
        <v>1636</v>
      </c>
      <c r="R275" s="6" t="s">
        <v>110</v>
      </c>
      <c r="S275" s="5" t="s">
        <v>3323</v>
      </c>
      <c r="T275" s="10"/>
      <c r="U275" s="6"/>
    </row>
    <row r="276" spans="1:21" x14ac:dyDescent="0.2">
      <c r="A276" s="8">
        <v>5.17</v>
      </c>
      <c r="B276" s="5" t="s">
        <v>856</v>
      </c>
      <c r="C276" s="5" t="s">
        <v>863</v>
      </c>
      <c r="D276" s="6" t="s">
        <v>1643</v>
      </c>
      <c r="E276" s="6" t="s">
        <v>1644</v>
      </c>
      <c r="F276" s="6" t="s">
        <v>33</v>
      </c>
      <c r="G276" s="5" t="s">
        <v>23</v>
      </c>
      <c r="H276" s="5"/>
      <c r="I276" s="5"/>
      <c r="J276" s="54">
        <v>0</v>
      </c>
      <c r="K276" s="6" t="s">
        <v>1645</v>
      </c>
      <c r="L276" s="6" t="s">
        <v>1646</v>
      </c>
      <c r="M276" s="6" t="b">
        <v>0</v>
      </c>
      <c r="N276" s="6" t="s">
        <v>1647</v>
      </c>
      <c r="O276" s="6" t="s">
        <v>274</v>
      </c>
      <c r="P276" s="6"/>
      <c r="Q276" s="6" t="s">
        <v>1648</v>
      </c>
      <c r="R276" s="6" t="s">
        <v>871</v>
      </c>
      <c r="S276" s="5" t="s">
        <v>3323</v>
      </c>
      <c r="T276" s="10"/>
      <c r="U276" s="6"/>
    </row>
    <row r="277" spans="1:21" x14ac:dyDescent="0.2">
      <c r="A277" s="8">
        <v>5.17</v>
      </c>
      <c r="B277" s="5" t="s">
        <v>856</v>
      </c>
      <c r="C277" s="5" t="s">
        <v>863</v>
      </c>
      <c r="D277" s="6" t="s">
        <v>1649</v>
      </c>
      <c r="E277" s="6" t="s">
        <v>1650</v>
      </c>
      <c r="F277" s="6" t="s">
        <v>42</v>
      </c>
      <c r="G277" s="5" t="s">
        <v>23</v>
      </c>
      <c r="H277" s="5"/>
      <c r="I277" s="5"/>
      <c r="J277" s="54">
        <v>0</v>
      </c>
      <c r="K277" s="6" t="s">
        <v>1651</v>
      </c>
      <c r="L277" s="6" t="s">
        <v>1652</v>
      </c>
      <c r="M277" s="6" t="b">
        <v>0</v>
      </c>
      <c r="N277" s="6" t="s">
        <v>210</v>
      </c>
      <c r="O277" s="6" t="s">
        <v>44</v>
      </c>
      <c r="P277" s="6"/>
      <c r="Q277" s="6" t="s">
        <v>1653</v>
      </c>
      <c r="R277" s="6" t="s">
        <v>871</v>
      </c>
      <c r="S277" s="5" t="s">
        <v>3323</v>
      </c>
      <c r="T277" s="10"/>
      <c r="U277" s="6"/>
    </row>
    <row r="278" spans="1:21" x14ac:dyDescent="0.2">
      <c r="A278" s="8">
        <v>5.17</v>
      </c>
      <c r="B278" s="5" t="s">
        <v>856</v>
      </c>
      <c r="C278" s="5" t="s">
        <v>863</v>
      </c>
      <c r="D278" s="6" t="s">
        <v>1654</v>
      </c>
      <c r="E278" s="6" t="s">
        <v>1655</v>
      </c>
      <c r="F278" s="6" t="s">
        <v>427</v>
      </c>
      <c r="G278" s="5" t="s">
        <v>23</v>
      </c>
      <c r="H278" s="5"/>
      <c r="I278" s="5"/>
      <c r="J278" s="54">
        <v>0</v>
      </c>
      <c r="K278" s="6" t="s">
        <v>1656</v>
      </c>
      <c r="L278" s="6" t="s">
        <v>1657</v>
      </c>
      <c r="M278" s="6" t="b">
        <v>0</v>
      </c>
      <c r="N278" s="6" t="s">
        <v>1658</v>
      </c>
      <c r="O278" s="6" t="s">
        <v>1659</v>
      </c>
      <c r="P278" s="6" t="s">
        <v>28</v>
      </c>
      <c r="Q278" s="6" t="s">
        <v>1660</v>
      </c>
      <c r="R278" s="6" t="s">
        <v>871</v>
      </c>
      <c r="S278" s="5" t="s">
        <v>3323</v>
      </c>
      <c r="T278" s="10"/>
      <c r="U278" s="6"/>
    </row>
    <row r="279" spans="1:21" x14ac:dyDescent="0.2">
      <c r="A279" s="8">
        <v>5.15</v>
      </c>
      <c r="B279" s="5" t="s">
        <v>856</v>
      </c>
      <c r="C279" s="5" t="s">
        <v>863</v>
      </c>
      <c r="D279" s="6" t="s">
        <v>1665</v>
      </c>
      <c r="E279" s="6" t="s">
        <v>1666</v>
      </c>
      <c r="F279" s="6" t="s">
        <v>810</v>
      </c>
      <c r="G279" s="5" t="s">
        <v>23</v>
      </c>
      <c r="H279" s="5"/>
      <c r="I279" s="5"/>
      <c r="J279" s="54">
        <v>0</v>
      </c>
      <c r="K279" s="6" t="s">
        <v>1667</v>
      </c>
      <c r="L279" s="6" t="s">
        <v>1668</v>
      </c>
      <c r="M279" s="6" t="b">
        <v>0</v>
      </c>
      <c r="N279" s="6" t="s">
        <v>1669</v>
      </c>
      <c r="O279" s="6" t="s">
        <v>1670</v>
      </c>
      <c r="P279" s="6" t="s">
        <v>38</v>
      </c>
      <c r="Q279" s="6" t="s">
        <v>673</v>
      </c>
      <c r="R279" s="6" t="s">
        <v>871</v>
      </c>
      <c r="S279" s="5" t="s">
        <v>3323</v>
      </c>
      <c r="T279" s="10"/>
      <c r="U279" s="6"/>
    </row>
    <row r="280" spans="1:21" x14ac:dyDescent="0.2">
      <c r="A280" s="8">
        <v>5.15</v>
      </c>
      <c r="B280" s="5" t="s">
        <v>856</v>
      </c>
      <c r="C280" s="5" t="s">
        <v>101</v>
      </c>
      <c r="D280" s="6" t="s">
        <v>1671</v>
      </c>
      <c r="E280" s="6" t="s">
        <v>1672</v>
      </c>
      <c r="F280" s="6" t="s">
        <v>42</v>
      </c>
      <c r="G280" s="5" t="s">
        <v>104</v>
      </c>
      <c r="H280" s="5"/>
      <c r="I280" s="5"/>
      <c r="J280" s="54">
        <v>43600</v>
      </c>
      <c r="K280" s="6" t="s">
        <v>1673</v>
      </c>
      <c r="L280" s="6" t="s">
        <v>1674</v>
      </c>
      <c r="M280" s="6" t="b">
        <v>0</v>
      </c>
      <c r="N280" s="6" t="s">
        <v>1675</v>
      </c>
      <c r="O280" s="6" t="s">
        <v>1676</v>
      </c>
      <c r="P280" s="6"/>
      <c r="Q280" s="6" t="s">
        <v>1677</v>
      </c>
      <c r="R280" s="6" t="s">
        <v>110</v>
      </c>
      <c r="S280" s="5" t="s">
        <v>3323</v>
      </c>
      <c r="T280" s="10"/>
      <c r="U280" s="6"/>
    </row>
    <row r="281" spans="1:21" x14ac:dyDescent="0.2">
      <c r="A281" s="8">
        <v>5.15</v>
      </c>
      <c r="B281" s="5" t="s">
        <v>856</v>
      </c>
      <c r="C281" s="5" t="s">
        <v>863</v>
      </c>
      <c r="D281" s="6" t="s">
        <v>1678</v>
      </c>
      <c r="E281" s="6" t="s">
        <v>1263</v>
      </c>
      <c r="F281" s="6" t="s">
        <v>73</v>
      </c>
      <c r="G281" s="5" t="s">
        <v>23</v>
      </c>
      <c r="H281" s="5"/>
      <c r="I281" s="5"/>
      <c r="J281" s="54">
        <v>0</v>
      </c>
      <c r="K281" s="6" t="s">
        <v>1679</v>
      </c>
      <c r="L281" s="6" t="s">
        <v>1680</v>
      </c>
      <c r="M281" s="6" t="b">
        <v>0</v>
      </c>
      <c r="N281" s="6" t="s">
        <v>1681</v>
      </c>
      <c r="O281" s="6" t="s">
        <v>1682</v>
      </c>
      <c r="P281" s="6" t="s">
        <v>28</v>
      </c>
      <c r="Q281" s="6" t="s">
        <v>1473</v>
      </c>
      <c r="R281" s="6" t="s">
        <v>871</v>
      </c>
      <c r="S281" s="5" t="s">
        <v>3323</v>
      </c>
      <c r="T281" s="10"/>
      <c r="U281" s="6"/>
    </row>
    <row r="282" spans="1:21" hidden="1" x14ac:dyDescent="0.2">
      <c r="A282">
        <v>5.07</v>
      </c>
      <c r="B282" t="s">
        <v>514</v>
      </c>
      <c r="C282" t="s">
        <v>863</v>
      </c>
      <c r="D282" t="s">
        <v>1728</v>
      </c>
      <c r="E282" t="s">
        <v>1729</v>
      </c>
      <c r="F282" t="s">
        <v>22</v>
      </c>
      <c r="G282" t="s">
        <v>23</v>
      </c>
      <c r="J282">
        <v>0</v>
      </c>
      <c r="K282" t="s">
        <v>135</v>
      </c>
      <c r="L282" t="s">
        <v>1730</v>
      </c>
      <c r="M282" t="b">
        <v>1</v>
      </c>
      <c r="N282" t="s">
        <v>1731</v>
      </c>
      <c r="O282" t="s">
        <v>1732</v>
      </c>
      <c r="P282" t="s">
        <v>1733</v>
      </c>
      <c r="Q282" t="s">
        <v>1734</v>
      </c>
      <c r="R282" t="s">
        <v>871</v>
      </c>
      <c r="S282" t="s">
        <v>3323</v>
      </c>
      <c r="T282" s="2"/>
    </row>
    <row r="283" spans="1:21" x14ac:dyDescent="0.2">
      <c r="A283" s="8">
        <v>5.13</v>
      </c>
      <c r="B283" s="5" t="s">
        <v>856</v>
      </c>
      <c r="C283" s="5" t="s">
        <v>101</v>
      </c>
      <c r="D283" s="6" t="s">
        <v>1687</v>
      </c>
      <c r="E283" s="6" t="s">
        <v>200</v>
      </c>
      <c r="F283" s="6" t="s">
        <v>427</v>
      </c>
      <c r="G283" s="5" t="s">
        <v>104</v>
      </c>
      <c r="H283" s="5"/>
      <c r="I283" s="5"/>
      <c r="J283" s="54">
        <v>0</v>
      </c>
      <c r="K283" s="6" t="s">
        <v>1688</v>
      </c>
      <c r="L283" s="6" t="s">
        <v>59</v>
      </c>
      <c r="M283" s="6" t="b">
        <v>0</v>
      </c>
      <c r="N283" s="6" t="s">
        <v>1689</v>
      </c>
      <c r="O283" s="6" t="s">
        <v>1690</v>
      </c>
      <c r="P283" s="6" t="s">
        <v>92</v>
      </c>
      <c r="Q283" s="6" t="s">
        <v>1691</v>
      </c>
      <c r="R283" s="6" t="s">
        <v>110</v>
      </c>
      <c r="S283" s="5" t="s">
        <v>3323</v>
      </c>
      <c r="T283" s="10"/>
      <c r="U283" s="6"/>
    </row>
    <row r="284" spans="1:21" hidden="1" x14ac:dyDescent="0.2">
      <c r="A284">
        <v>5.05</v>
      </c>
      <c r="B284" t="s">
        <v>514</v>
      </c>
      <c r="C284" t="s">
        <v>863</v>
      </c>
      <c r="D284" t="s">
        <v>1740</v>
      </c>
      <c r="E284" t="s">
        <v>103</v>
      </c>
      <c r="F284" t="s">
        <v>290</v>
      </c>
      <c r="G284" t="s">
        <v>23</v>
      </c>
      <c r="J284">
        <v>0</v>
      </c>
      <c r="K284" t="s">
        <v>291</v>
      </c>
      <c r="L284" t="s">
        <v>292</v>
      </c>
      <c r="M284" t="b">
        <v>1</v>
      </c>
      <c r="N284" t="s">
        <v>1741</v>
      </c>
      <c r="O284" t="s">
        <v>243</v>
      </c>
      <c r="P284" t="s">
        <v>1742</v>
      </c>
      <c r="Q284" t="s">
        <v>1743</v>
      </c>
      <c r="R284" t="s">
        <v>871</v>
      </c>
      <c r="S284" t="s">
        <v>3323</v>
      </c>
      <c r="T284" s="2"/>
    </row>
    <row r="285" spans="1:21" x14ac:dyDescent="0.2">
      <c r="A285" s="8">
        <v>5.12</v>
      </c>
      <c r="B285" s="5" t="s">
        <v>856</v>
      </c>
      <c r="C285" s="5" t="s">
        <v>863</v>
      </c>
      <c r="D285" s="6" t="s">
        <v>1692</v>
      </c>
      <c r="E285" s="6" t="s">
        <v>1693</v>
      </c>
      <c r="F285" s="6" t="s">
        <v>33</v>
      </c>
      <c r="G285" s="5" t="s">
        <v>23</v>
      </c>
      <c r="H285" s="5"/>
      <c r="I285" s="5"/>
      <c r="J285" s="54">
        <v>0</v>
      </c>
      <c r="K285" s="6" t="s">
        <v>1694</v>
      </c>
      <c r="L285" s="6" t="s">
        <v>1695</v>
      </c>
      <c r="M285" s="6" t="b">
        <v>0</v>
      </c>
      <c r="N285" s="6" t="s">
        <v>1696</v>
      </c>
      <c r="O285" s="6" t="s">
        <v>1697</v>
      </c>
      <c r="P285" s="6"/>
      <c r="Q285" s="6" t="s">
        <v>1698</v>
      </c>
      <c r="R285" s="6" t="s">
        <v>871</v>
      </c>
      <c r="S285" s="5" t="s">
        <v>3323</v>
      </c>
      <c r="T285" s="10"/>
      <c r="U285" s="6"/>
    </row>
    <row r="286" spans="1:21" hidden="1" x14ac:dyDescent="0.2">
      <c r="A286">
        <v>5.03</v>
      </c>
      <c r="B286" t="s">
        <v>514</v>
      </c>
      <c r="C286" t="s">
        <v>101</v>
      </c>
      <c r="D286" t="s">
        <v>1749</v>
      </c>
      <c r="E286" t="s">
        <v>502</v>
      </c>
      <c r="F286" t="s">
        <v>427</v>
      </c>
      <c r="G286" t="s">
        <v>104</v>
      </c>
      <c r="J286">
        <v>317500</v>
      </c>
      <c r="K286" t="s">
        <v>1750</v>
      </c>
      <c r="L286" t="s">
        <v>525</v>
      </c>
      <c r="M286" t="b">
        <v>1</v>
      </c>
      <c r="N286" t="s">
        <v>1751</v>
      </c>
      <c r="O286" t="s">
        <v>1752</v>
      </c>
      <c r="Q286" t="s">
        <v>1753</v>
      </c>
      <c r="R286" t="s">
        <v>110</v>
      </c>
      <c r="S286" t="s">
        <v>3323</v>
      </c>
      <c r="T286" s="2"/>
    </row>
    <row r="287" spans="1:21" x14ac:dyDescent="0.2">
      <c r="A287" s="8">
        <v>5.0999999999999996</v>
      </c>
      <c r="B287" s="5" t="s">
        <v>856</v>
      </c>
      <c r="C287" s="5" t="s">
        <v>101</v>
      </c>
      <c r="D287" s="6" t="s">
        <v>1705</v>
      </c>
      <c r="E287" s="6" t="s">
        <v>1706</v>
      </c>
      <c r="F287" s="6" t="s">
        <v>290</v>
      </c>
      <c r="G287" s="5" t="s">
        <v>104</v>
      </c>
      <c r="H287" s="5"/>
      <c r="I287" s="5"/>
      <c r="J287" s="54">
        <v>0</v>
      </c>
      <c r="K287" s="6" t="s">
        <v>1707</v>
      </c>
      <c r="L287" s="6" t="s">
        <v>59</v>
      </c>
      <c r="M287" s="6" t="b">
        <v>0</v>
      </c>
      <c r="N287" s="6" t="s">
        <v>1708</v>
      </c>
      <c r="O287" s="6" t="s">
        <v>1709</v>
      </c>
      <c r="P287" s="6" t="s">
        <v>38</v>
      </c>
      <c r="Q287" s="6" t="s">
        <v>1710</v>
      </c>
      <c r="R287" s="6" t="s">
        <v>110</v>
      </c>
      <c r="S287" s="5" t="s">
        <v>3323</v>
      </c>
      <c r="T287" s="10"/>
      <c r="U287" s="6"/>
    </row>
    <row r="288" spans="1:21" hidden="1" x14ac:dyDescent="0.2">
      <c r="A288">
        <v>5.0199999999999996</v>
      </c>
      <c r="B288" t="s">
        <v>514</v>
      </c>
      <c r="C288" t="s">
        <v>19</v>
      </c>
      <c r="D288" t="s">
        <v>1762</v>
      </c>
      <c r="E288" t="s">
        <v>1619</v>
      </c>
      <c r="F288" t="s">
        <v>427</v>
      </c>
      <c r="G288" t="s">
        <v>23</v>
      </c>
      <c r="H288" s="1">
        <v>46259</v>
      </c>
      <c r="I288">
        <v>11</v>
      </c>
      <c r="J288">
        <v>0</v>
      </c>
      <c r="K288" t="s">
        <v>1147</v>
      </c>
      <c r="L288" t="s">
        <v>1763</v>
      </c>
      <c r="M288" t="b">
        <v>0</v>
      </c>
      <c r="N288" t="s">
        <v>1764</v>
      </c>
      <c r="O288" t="s">
        <v>1765</v>
      </c>
      <c r="P288" t="s">
        <v>1766</v>
      </c>
      <c r="Q288" t="s">
        <v>1767</v>
      </c>
      <c r="R288" t="s">
        <v>1021</v>
      </c>
      <c r="S288" t="s">
        <v>3323</v>
      </c>
      <c r="T288" s="2"/>
    </row>
    <row r="289" spans="1:21" x14ac:dyDescent="0.2">
      <c r="A289" s="8">
        <v>5.0999999999999996</v>
      </c>
      <c r="B289" s="5" t="s">
        <v>856</v>
      </c>
      <c r="C289" s="5" t="s">
        <v>101</v>
      </c>
      <c r="D289" s="6" t="s">
        <v>1711</v>
      </c>
      <c r="E289" s="6" t="s">
        <v>1712</v>
      </c>
      <c r="F289" s="6" t="s">
        <v>810</v>
      </c>
      <c r="G289" s="5" t="s">
        <v>104</v>
      </c>
      <c r="H289" s="5"/>
      <c r="I289" s="5"/>
      <c r="J289" s="54">
        <v>0</v>
      </c>
      <c r="K289" s="6" t="s">
        <v>1713</v>
      </c>
      <c r="L289" s="6" t="s">
        <v>1714</v>
      </c>
      <c r="M289" s="6" t="b">
        <v>0</v>
      </c>
      <c r="N289" s="6" t="s">
        <v>1715</v>
      </c>
      <c r="O289" s="6" t="s">
        <v>1716</v>
      </c>
      <c r="P289" s="6" t="s">
        <v>38</v>
      </c>
      <c r="Q289" s="6" t="s">
        <v>1717</v>
      </c>
      <c r="R289" s="6" t="s">
        <v>110</v>
      </c>
      <c r="S289" s="5" t="s">
        <v>3323</v>
      </c>
      <c r="T289" s="10"/>
      <c r="U289" s="6"/>
    </row>
    <row r="290" spans="1:21" hidden="1" x14ac:dyDescent="0.2">
      <c r="A290">
        <v>5.0199999999999996</v>
      </c>
      <c r="B290" t="s">
        <v>514</v>
      </c>
      <c r="C290" t="s">
        <v>863</v>
      </c>
      <c r="D290" t="s">
        <v>1773</v>
      </c>
      <c r="E290" t="s">
        <v>103</v>
      </c>
      <c r="F290" t="s">
        <v>290</v>
      </c>
      <c r="G290" t="s">
        <v>23</v>
      </c>
      <c r="J290">
        <v>0</v>
      </c>
      <c r="K290" t="s">
        <v>291</v>
      </c>
      <c r="L290" t="s">
        <v>853</v>
      </c>
      <c r="M290" t="b">
        <v>1</v>
      </c>
      <c r="N290" t="s">
        <v>1774</v>
      </c>
      <c r="O290" t="s">
        <v>243</v>
      </c>
      <c r="P290" t="s">
        <v>1775</v>
      </c>
      <c r="Q290" t="s">
        <v>1776</v>
      </c>
      <c r="R290" t="s">
        <v>871</v>
      </c>
      <c r="S290" t="s">
        <v>3323</v>
      </c>
      <c r="T290" s="2"/>
    </row>
    <row r="291" spans="1:21" hidden="1" x14ac:dyDescent="0.2">
      <c r="A291">
        <v>5.01</v>
      </c>
      <c r="B291" t="s">
        <v>514</v>
      </c>
      <c r="C291" t="s">
        <v>863</v>
      </c>
      <c r="D291" t="s">
        <v>1777</v>
      </c>
      <c r="E291" t="s">
        <v>1778</v>
      </c>
      <c r="F291" t="s">
        <v>290</v>
      </c>
      <c r="G291" t="s">
        <v>23</v>
      </c>
      <c r="J291">
        <v>0</v>
      </c>
      <c r="K291" t="s">
        <v>291</v>
      </c>
      <c r="L291" t="s">
        <v>292</v>
      </c>
      <c r="M291" t="b">
        <v>1</v>
      </c>
      <c r="N291" t="s">
        <v>1779</v>
      </c>
      <c r="O291" t="s">
        <v>243</v>
      </c>
      <c r="P291" t="s">
        <v>1780</v>
      </c>
      <c r="Q291" t="s">
        <v>1781</v>
      </c>
      <c r="R291" t="s">
        <v>871</v>
      </c>
      <c r="S291" t="s">
        <v>3323</v>
      </c>
      <c r="T291" s="2"/>
    </row>
    <row r="292" spans="1:21" x14ac:dyDescent="0.2">
      <c r="A292" s="8">
        <v>5.08</v>
      </c>
      <c r="B292" s="5" t="s">
        <v>856</v>
      </c>
      <c r="C292" s="5" t="s">
        <v>863</v>
      </c>
      <c r="D292" s="6" t="s">
        <v>1718</v>
      </c>
      <c r="E292" s="6" t="s">
        <v>1719</v>
      </c>
      <c r="F292" s="6" t="s">
        <v>33</v>
      </c>
      <c r="G292" s="5" t="s">
        <v>23</v>
      </c>
      <c r="H292" s="5"/>
      <c r="I292" s="5"/>
      <c r="J292" s="54">
        <v>0</v>
      </c>
      <c r="K292" s="6" t="s">
        <v>1389</v>
      </c>
      <c r="L292" s="6" t="s">
        <v>525</v>
      </c>
      <c r="M292" s="6" t="b">
        <v>0</v>
      </c>
      <c r="N292" s="6" t="s">
        <v>1720</v>
      </c>
      <c r="O292" s="6" t="s">
        <v>1721</v>
      </c>
      <c r="P292" s="6" t="s">
        <v>38</v>
      </c>
      <c r="Q292" s="6" t="s">
        <v>1722</v>
      </c>
      <c r="R292" s="6" t="s">
        <v>871</v>
      </c>
      <c r="S292" s="5" t="s">
        <v>3323</v>
      </c>
      <c r="T292" s="10"/>
      <c r="U292" s="6"/>
    </row>
    <row r="293" spans="1:21" x14ac:dyDescent="0.2">
      <c r="A293" s="8">
        <v>5.08</v>
      </c>
      <c r="B293" s="5" t="s">
        <v>856</v>
      </c>
      <c r="C293" s="5" t="s">
        <v>101</v>
      </c>
      <c r="D293" s="6" t="s">
        <v>1723</v>
      </c>
      <c r="E293" s="6" t="s">
        <v>103</v>
      </c>
      <c r="F293" s="6" t="s">
        <v>33</v>
      </c>
      <c r="G293" s="5" t="s">
        <v>104</v>
      </c>
      <c r="H293" s="5"/>
      <c r="I293" s="5"/>
      <c r="J293" s="61">
        <v>2</v>
      </c>
      <c r="K293" s="6" t="s">
        <v>1724</v>
      </c>
      <c r="L293" s="6" t="s">
        <v>59</v>
      </c>
      <c r="M293" s="6" t="b">
        <v>0</v>
      </c>
      <c r="N293" s="6" t="s">
        <v>1725</v>
      </c>
      <c r="O293" s="6" t="s">
        <v>1726</v>
      </c>
      <c r="P293" s="6" t="s">
        <v>38</v>
      </c>
      <c r="Q293" s="6" t="s">
        <v>1727</v>
      </c>
      <c r="R293" s="6" t="s">
        <v>110</v>
      </c>
      <c r="S293" s="5" t="s">
        <v>3323</v>
      </c>
      <c r="T293" s="10"/>
      <c r="U293" s="6"/>
    </row>
    <row r="294" spans="1:21" x14ac:dyDescent="0.2">
      <c r="A294" s="8">
        <v>5.05</v>
      </c>
      <c r="B294" s="5" t="s">
        <v>856</v>
      </c>
      <c r="C294" s="5" t="s">
        <v>101</v>
      </c>
      <c r="D294" s="6" t="s">
        <v>1735</v>
      </c>
      <c r="E294" s="6" t="s">
        <v>1736</v>
      </c>
      <c r="F294" s="6" t="s">
        <v>33</v>
      </c>
      <c r="G294" s="5" t="s">
        <v>104</v>
      </c>
      <c r="H294" s="5"/>
      <c r="I294" s="5"/>
      <c r="J294" s="54">
        <v>500000</v>
      </c>
      <c r="K294" s="7">
        <v>0.1</v>
      </c>
      <c r="L294" s="6" t="s">
        <v>59</v>
      </c>
      <c r="M294" s="6" t="b">
        <v>0</v>
      </c>
      <c r="N294" s="6" t="s">
        <v>210</v>
      </c>
      <c r="O294" s="6" t="s">
        <v>1737</v>
      </c>
      <c r="P294" s="6" t="s">
        <v>1738</v>
      </c>
      <c r="Q294" s="6" t="s">
        <v>1739</v>
      </c>
      <c r="R294" s="6" t="s">
        <v>110</v>
      </c>
      <c r="S294" s="5" t="s">
        <v>3323</v>
      </c>
      <c r="T294" s="10"/>
      <c r="U294" s="6"/>
    </row>
    <row r="295" spans="1:21" hidden="1" x14ac:dyDescent="0.2">
      <c r="A295">
        <v>4.99</v>
      </c>
      <c r="B295" t="s">
        <v>514</v>
      </c>
      <c r="C295" t="s">
        <v>101</v>
      </c>
      <c r="D295" t="s">
        <v>1800</v>
      </c>
      <c r="E295" t="s">
        <v>1306</v>
      </c>
      <c r="F295" t="s">
        <v>42</v>
      </c>
      <c r="G295" t="s">
        <v>104</v>
      </c>
      <c r="J295">
        <v>500000</v>
      </c>
      <c r="K295" t="s">
        <v>1801</v>
      </c>
      <c r="L295" t="s">
        <v>1802</v>
      </c>
      <c r="M295" t="b">
        <v>1</v>
      </c>
      <c r="N295" t="s">
        <v>1803</v>
      </c>
      <c r="O295" t="s">
        <v>1804</v>
      </c>
      <c r="P295" t="s">
        <v>1805</v>
      </c>
      <c r="Q295" t="s">
        <v>1806</v>
      </c>
      <c r="R295" t="s">
        <v>110</v>
      </c>
      <c r="S295" t="s">
        <v>3323</v>
      </c>
      <c r="T295" s="2"/>
    </row>
    <row r="296" spans="1:21" x14ac:dyDescent="0.2">
      <c r="A296" s="8">
        <v>5.04</v>
      </c>
      <c r="B296" s="5" t="s">
        <v>856</v>
      </c>
      <c r="C296" s="5" t="s">
        <v>101</v>
      </c>
      <c r="D296" s="6" t="s">
        <v>1744</v>
      </c>
      <c r="E296" s="6" t="s">
        <v>1638</v>
      </c>
      <c r="F296" s="6" t="s">
        <v>73</v>
      </c>
      <c r="G296" s="5" t="s">
        <v>104</v>
      </c>
      <c r="H296" s="5"/>
      <c r="I296" s="5"/>
      <c r="J296" s="54">
        <v>250000</v>
      </c>
      <c r="K296" s="6" t="s">
        <v>1745</v>
      </c>
      <c r="L296" s="6" t="s">
        <v>1746</v>
      </c>
      <c r="M296" s="6" t="b">
        <v>0</v>
      </c>
      <c r="N296" s="6" t="s">
        <v>805</v>
      </c>
      <c r="O296" s="6" t="s">
        <v>1747</v>
      </c>
      <c r="P296" s="6" t="s">
        <v>38</v>
      </c>
      <c r="Q296" s="6" t="s">
        <v>1748</v>
      </c>
      <c r="R296" s="6" t="s">
        <v>110</v>
      </c>
      <c r="S296" s="5" t="s">
        <v>3323</v>
      </c>
      <c r="T296" s="10"/>
      <c r="U296" s="6"/>
    </row>
    <row r="297" spans="1:21" hidden="1" x14ac:dyDescent="0.2">
      <c r="A297">
        <v>4.9800000000000004</v>
      </c>
      <c r="B297" t="s">
        <v>514</v>
      </c>
      <c r="C297" t="s">
        <v>863</v>
      </c>
      <c r="D297" t="s">
        <v>1815</v>
      </c>
      <c r="E297" t="s">
        <v>103</v>
      </c>
      <c r="F297" t="s">
        <v>290</v>
      </c>
      <c r="G297" t="s">
        <v>23</v>
      </c>
      <c r="J297">
        <v>0</v>
      </c>
      <c r="K297" t="s">
        <v>291</v>
      </c>
      <c r="L297" t="s">
        <v>853</v>
      </c>
      <c r="M297" t="b">
        <v>0</v>
      </c>
      <c r="N297" t="s">
        <v>1181</v>
      </c>
      <c r="O297" t="s">
        <v>243</v>
      </c>
      <c r="P297" t="s">
        <v>1816</v>
      </c>
      <c r="Q297" t="s">
        <v>1817</v>
      </c>
      <c r="R297" t="s">
        <v>871</v>
      </c>
      <c r="S297" t="s">
        <v>3323</v>
      </c>
      <c r="T297" s="2"/>
    </row>
    <row r="298" spans="1:21" hidden="1" x14ac:dyDescent="0.2">
      <c r="A298">
        <v>4.9800000000000004</v>
      </c>
      <c r="B298" t="s">
        <v>514</v>
      </c>
      <c r="C298" t="s">
        <v>863</v>
      </c>
      <c r="D298" t="s">
        <v>1818</v>
      </c>
      <c r="E298" t="s">
        <v>656</v>
      </c>
      <c r="F298" t="s">
        <v>22</v>
      </c>
      <c r="G298" t="s">
        <v>23</v>
      </c>
      <c r="J298">
        <v>0</v>
      </c>
      <c r="K298" t="s">
        <v>1819</v>
      </c>
      <c r="L298" t="s">
        <v>1820</v>
      </c>
      <c r="M298" t="b">
        <v>0</v>
      </c>
      <c r="N298" t="s">
        <v>1820</v>
      </c>
      <c r="O298" t="s">
        <v>1820</v>
      </c>
      <c r="P298" t="s">
        <v>1821</v>
      </c>
      <c r="Q298" t="s">
        <v>1555</v>
      </c>
      <c r="R298" t="s">
        <v>871</v>
      </c>
      <c r="S298" t="s">
        <v>3323</v>
      </c>
      <c r="T298" s="2"/>
    </row>
    <row r="299" spans="1:21" x14ac:dyDescent="0.2">
      <c r="A299" s="8">
        <v>5.03</v>
      </c>
      <c r="B299" s="5" t="s">
        <v>856</v>
      </c>
      <c r="C299" s="5" t="s">
        <v>863</v>
      </c>
      <c r="D299" s="6" t="s">
        <v>1754</v>
      </c>
      <c r="E299" s="6" t="s">
        <v>1755</v>
      </c>
      <c r="F299" s="6" t="s">
        <v>810</v>
      </c>
      <c r="G299" s="5" t="s">
        <v>23</v>
      </c>
      <c r="H299" s="5"/>
      <c r="I299" s="5"/>
      <c r="J299" s="54">
        <v>8500</v>
      </c>
      <c r="K299" s="6" t="s">
        <v>1756</v>
      </c>
      <c r="L299" s="6" t="s">
        <v>1757</v>
      </c>
      <c r="M299" s="6" t="b">
        <v>0</v>
      </c>
      <c r="N299" s="6" t="s">
        <v>1758</v>
      </c>
      <c r="O299" s="6" t="s">
        <v>1759</v>
      </c>
      <c r="P299" s="6" t="s">
        <v>1760</v>
      </c>
      <c r="Q299" s="6" t="s">
        <v>1761</v>
      </c>
      <c r="R299" s="6" t="s">
        <v>871</v>
      </c>
      <c r="S299" s="5" t="s">
        <v>3323</v>
      </c>
      <c r="T299" s="10"/>
      <c r="U299" s="6"/>
    </row>
    <row r="300" spans="1:21" x14ac:dyDescent="0.2">
      <c r="A300" s="8">
        <v>5.0199999999999996</v>
      </c>
      <c r="B300" s="5" t="s">
        <v>856</v>
      </c>
      <c r="C300" s="5" t="s">
        <v>101</v>
      </c>
      <c r="D300" s="6" t="s">
        <v>1768</v>
      </c>
      <c r="E300" s="6" t="s">
        <v>885</v>
      </c>
      <c r="F300" s="6" t="s">
        <v>33</v>
      </c>
      <c r="G300" s="5" t="s">
        <v>104</v>
      </c>
      <c r="H300" s="5"/>
      <c r="I300" s="5"/>
      <c r="J300" s="54">
        <v>0</v>
      </c>
      <c r="K300" s="6" t="s">
        <v>1769</v>
      </c>
      <c r="L300" s="6" t="s">
        <v>1770</v>
      </c>
      <c r="M300" s="6" t="b">
        <v>0</v>
      </c>
      <c r="N300" s="6" t="s">
        <v>1771</v>
      </c>
      <c r="O300" s="6" t="s">
        <v>1772</v>
      </c>
      <c r="P300" s="6" t="s">
        <v>28</v>
      </c>
      <c r="Q300" s="6" t="s">
        <v>889</v>
      </c>
      <c r="R300" s="6" t="s">
        <v>110</v>
      </c>
      <c r="S300" s="5" t="s">
        <v>3323</v>
      </c>
      <c r="T300" s="10"/>
      <c r="U300" s="6"/>
    </row>
    <row r="301" spans="1:21" hidden="1" x14ac:dyDescent="0.2">
      <c r="A301">
        <v>4.95</v>
      </c>
      <c r="B301" t="s">
        <v>514</v>
      </c>
      <c r="C301" t="s">
        <v>863</v>
      </c>
      <c r="D301" t="s">
        <v>1832</v>
      </c>
      <c r="E301" t="s">
        <v>1833</v>
      </c>
      <c r="F301" t="s">
        <v>22</v>
      </c>
      <c r="G301" t="s">
        <v>23</v>
      </c>
      <c r="H301" s="1">
        <v>46275</v>
      </c>
      <c r="I301">
        <v>27</v>
      </c>
      <c r="J301">
        <v>0</v>
      </c>
      <c r="K301" t="s">
        <v>1834</v>
      </c>
      <c r="L301" t="s">
        <v>1835</v>
      </c>
      <c r="M301" t="b">
        <v>1</v>
      </c>
      <c r="N301" t="s">
        <v>1836</v>
      </c>
      <c r="O301" t="s">
        <v>1837</v>
      </c>
      <c r="P301" t="s">
        <v>1838</v>
      </c>
      <c r="Q301" t="s">
        <v>1839</v>
      </c>
      <c r="R301" t="s">
        <v>871</v>
      </c>
      <c r="S301" t="s">
        <v>3323</v>
      </c>
      <c r="T301" s="2"/>
    </row>
    <row r="302" spans="1:21" hidden="1" x14ac:dyDescent="0.2">
      <c r="A302">
        <v>4.95</v>
      </c>
      <c r="B302" t="s">
        <v>514</v>
      </c>
      <c r="C302" t="s">
        <v>19</v>
      </c>
      <c r="D302" t="s">
        <v>1840</v>
      </c>
      <c r="E302" t="s">
        <v>502</v>
      </c>
      <c r="F302" t="s">
        <v>120</v>
      </c>
      <c r="G302" t="s">
        <v>23</v>
      </c>
      <c r="H302" s="1">
        <v>46259</v>
      </c>
      <c r="I302">
        <v>11</v>
      </c>
      <c r="J302">
        <v>0</v>
      </c>
      <c r="K302" t="s">
        <v>1841</v>
      </c>
      <c r="L302" t="s">
        <v>1842</v>
      </c>
      <c r="M302" t="b">
        <v>0</v>
      </c>
      <c r="N302" t="s">
        <v>1843</v>
      </c>
      <c r="O302" t="s">
        <v>1844</v>
      </c>
      <c r="P302" t="s">
        <v>1845</v>
      </c>
      <c r="Q302" t="s">
        <v>1422</v>
      </c>
      <c r="R302" t="s">
        <v>1021</v>
      </c>
      <c r="S302" t="s">
        <v>3323</v>
      </c>
      <c r="T302" s="2"/>
    </row>
    <row r="303" spans="1:21" x14ac:dyDescent="0.2">
      <c r="A303" s="8">
        <v>5</v>
      </c>
      <c r="B303" s="5" t="s">
        <v>856</v>
      </c>
      <c r="C303" s="5" t="s">
        <v>101</v>
      </c>
      <c r="D303" s="6" t="s">
        <v>1782</v>
      </c>
      <c r="E303" s="6" t="s">
        <v>1783</v>
      </c>
      <c r="F303" s="6" t="s">
        <v>33</v>
      </c>
      <c r="G303" s="5" t="s">
        <v>104</v>
      </c>
      <c r="H303" s="5"/>
      <c r="I303" s="5"/>
      <c r="J303" s="54">
        <v>218000</v>
      </c>
      <c r="K303" s="6" t="s">
        <v>1784</v>
      </c>
      <c r="L303" s="6" t="s">
        <v>59</v>
      </c>
      <c r="M303" s="6" t="b">
        <v>0</v>
      </c>
      <c r="N303" s="6" t="s">
        <v>770</v>
      </c>
      <c r="O303" s="6" t="s">
        <v>1785</v>
      </c>
      <c r="P303" s="6" t="s">
        <v>92</v>
      </c>
      <c r="Q303" s="6" t="s">
        <v>1786</v>
      </c>
      <c r="R303" s="6" t="s">
        <v>110</v>
      </c>
      <c r="S303" s="5" t="s">
        <v>3323</v>
      </c>
      <c r="T303" s="10"/>
      <c r="U303" s="6"/>
    </row>
    <row r="304" spans="1:21" x14ac:dyDescent="0.2">
      <c r="A304" s="8">
        <v>4.99</v>
      </c>
      <c r="B304" s="5" t="s">
        <v>1787</v>
      </c>
      <c r="C304" s="5" t="s">
        <v>101</v>
      </c>
      <c r="D304" s="6" t="s">
        <v>1788</v>
      </c>
      <c r="E304" s="6" t="s">
        <v>1789</v>
      </c>
      <c r="F304" s="6" t="s">
        <v>33</v>
      </c>
      <c r="G304" s="5" t="s">
        <v>104</v>
      </c>
      <c r="H304" s="5"/>
      <c r="I304" s="5"/>
      <c r="J304" s="54">
        <v>0</v>
      </c>
      <c r="K304" s="6" t="s">
        <v>1790</v>
      </c>
      <c r="L304" s="6" t="s">
        <v>1791</v>
      </c>
      <c r="M304" s="6" t="b">
        <v>0</v>
      </c>
      <c r="N304" s="6" t="s">
        <v>1792</v>
      </c>
      <c r="O304" s="6" t="s">
        <v>1793</v>
      </c>
      <c r="P304" s="6"/>
      <c r="Q304" s="6" t="s">
        <v>1794</v>
      </c>
      <c r="R304" s="6" t="s">
        <v>110</v>
      </c>
      <c r="S304" s="5" t="s">
        <v>3323</v>
      </c>
      <c r="T304" s="10"/>
      <c r="U304" s="6"/>
    </row>
    <row r="305" spans="1:21" x14ac:dyDescent="0.2">
      <c r="A305" s="8">
        <v>4.99</v>
      </c>
      <c r="B305" s="5" t="s">
        <v>1787</v>
      </c>
      <c r="C305" s="5" t="s">
        <v>101</v>
      </c>
      <c r="D305" s="6" t="s">
        <v>1795</v>
      </c>
      <c r="E305" s="6" t="s">
        <v>1796</v>
      </c>
      <c r="F305" s="6" t="s">
        <v>33</v>
      </c>
      <c r="G305" s="5" t="s">
        <v>104</v>
      </c>
      <c r="H305" s="5"/>
      <c r="I305" s="5"/>
      <c r="J305" s="54">
        <v>0</v>
      </c>
      <c r="K305" s="6" t="s">
        <v>1797</v>
      </c>
      <c r="L305" s="6" t="s">
        <v>1439</v>
      </c>
      <c r="M305" s="6" t="b">
        <v>0</v>
      </c>
      <c r="N305" s="6" t="s">
        <v>1440</v>
      </c>
      <c r="O305" s="6" t="s">
        <v>1798</v>
      </c>
      <c r="P305" s="6"/>
      <c r="Q305" s="6" t="s">
        <v>1799</v>
      </c>
      <c r="R305" s="6" t="s">
        <v>110</v>
      </c>
      <c r="S305" s="5" t="s">
        <v>3323</v>
      </c>
      <c r="T305" s="10"/>
      <c r="U305" s="6"/>
    </row>
    <row r="306" spans="1:21" x14ac:dyDescent="0.2">
      <c r="A306" s="8">
        <v>4.99</v>
      </c>
      <c r="B306" s="5" t="s">
        <v>1787</v>
      </c>
      <c r="C306" s="5" t="s">
        <v>101</v>
      </c>
      <c r="D306" s="6" t="s">
        <v>1807</v>
      </c>
      <c r="E306" s="6" t="s">
        <v>1808</v>
      </c>
      <c r="F306" s="6" t="s">
        <v>810</v>
      </c>
      <c r="G306" s="5" t="s">
        <v>104</v>
      </c>
      <c r="H306" s="5"/>
      <c r="I306" s="5"/>
      <c r="J306" s="54">
        <v>0</v>
      </c>
      <c r="K306" s="6" t="s">
        <v>1809</v>
      </c>
      <c r="L306" s="6" t="s">
        <v>1810</v>
      </c>
      <c r="M306" s="6" t="b">
        <v>0</v>
      </c>
      <c r="N306" s="6" t="s">
        <v>1811</v>
      </c>
      <c r="O306" s="6" t="s">
        <v>1812</v>
      </c>
      <c r="P306" s="6" t="s">
        <v>1813</v>
      </c>
      <c r="Q306" s="6" t="s">
        <v>1814</v>
      </c>
      <c r="R306" s="6" t="s">
        <v>110</v>
      </c>
      <c r="S306" s="5" t="s">
        <v>3323</v>
      </c>
      <c r="T306" s="10"/>
      <c r="U306" s="6"/>
    </row>
    <row r="307" spans="1:21" x14ac:dyDescent="0.2">
      <c r="A307" s="8">
        <v>4.97</v>
      </c>
      <c r="B307" s="5" t="s">
        <v>1787</v>
      </c>
      <c r="C307" s="5" t="s">
        <v>101</v>
      </c>
      <c r="D307" s="6" t="s">
        <v>1822</v>
      </c>
      <c r="E307" s="6" t="s">
        <v>1160</v>
      </c>
      <c r="F307" s="6" t="s">
        <v>42</v>
      </c>
      <c r="G307" s="5" t="s">
        <v>104</v>
      </c>
      <c r="H307" s="5"/>
      <c r="I307" s="5"/>
      <c r="J307" s="54">
        <v>190500</v>
      </c>
      <c r="K307" s="6" t="s">
        <v>1823</v>
      </c>
      <c r="L307" s="6" t="s">
        <v>1824</v>
      </c>
      <c r="M307" s="6" t="b">
        <v>0</v>
      </c>
      <c r="N307" s="6" t="s">
        <v>1634</v>
      </c>
      <c r="O307" s="6" t="s">
        <v>1825</v>
      </c>
      <c r="P307" s="6" t="s">
        <v>28</v>
      </c>
      <c r="Q307" s="6" t="s">
        <v>1826</v>
      </c>
      <c r="R307" s="6" t="s">
        <v>110</v>
      </c>
      <c r="S307" s="5" t="s">
        <v>3323</v>
      </c>
      <c r="T307" s="10"/>
      <c r="U307" s="6"/>
    </row>
    <row r="308" spans="1:21" hidden="1" x14ac:dyDescent="0.2">
      <c r="A308">
        <v>4.91</v>
      </c>
      <c r="B308" t="s">
        <v>514</v>
      </c>
      <c r="C308" t="s">
        <v>101</v>
      </c>
      <c r="D308" t="s">
        <v>1876</v>
      </c>
      <c r="E308" t="s">
        <v>1877</v>
      </c>
      <c r="F308" t="s">
        <v>427</v>
      </c>
      <c r="G308" t="s">
        <v>104</v>
      </c>
      <c r="J308">
        <v>109000</v>
      </c>
      <c r="K308" t="s">
        <v>1878</v>
      </c>
      <c r="L308" t="s">
        <v>525</v>
      </c>
      <c r="M308" t="b">
        <v>1</v>
      </c>
      <c r="N308" t="s">
        <v>1879</v>
      </c>
      <c r="O308" t="s">
        <v>1880</v>
      </c>
      <c r="Q308" t="s">
        <v>1881</v>
      </c>
      <c r="R308" t="s">
        <v>110</v>
      </c>
      <c r="S308" t="s">
        <v>3323</v>
      </c>
      <c r="T308" s="2"/>
    </row>
    <row r="309" spans="1:21" hidden="1" x14ac:dyDescent="0.2">
      <c r="A309">
        <v>4.91</v>
      </c>
      <c r="B309" t="s">
        <v>514</v>
      </c>
      <c r="C309" t="s">
        <v>863</v>
      </c>
      <c r="D309" t="s">
        <v>1882</v>
      </c>
      <c r="E309" t="s">
        <v>103</v>
      </c>
      <c r="F309" t="s">
        <v>290</v>
      </c>
      <c r="G309" t="s">
        <v>23</v>
      </c>
      <c r="J309">
        <v>0</v>
      </c>
      <c r="K309" t="s">
        <v>291</v>
      </c>
      <c r="L309" t="s">
        <v>1883</v>
      </c>
      <c r="M309" t="b">
        <v>0</v>
      </c>
      <c r="N309" t="s">
        <v>1884</v>
      </c>
      <c r="O309" t="s">
        <v>243</v>
      </c>
      <c r="P309" t="s">
        <v>1885</v>
      </c>
      <c r="Q309" t="s">
        <v>1886</v>
      </c>
      <c r="R309" t="s">
        <v>871</v>
      </c>
      <c r="S309" t="s">
        <v>3323</v>
      </c>
      <c r="T309" s="2"/>
    </row>
    <row r="310" spans="1:21" x14ac:dyDescent="0.2">
      <c r="A310" s="8">
        <v>4.9400000000000004</v>
      </c>
      <c r="B310" s="5" t="s">
        <v>1787</v>
      </c>
      <c r="C310" s="5" t="s">
        <v>863</v>
      </c>
      <c r="D310" s="6" t="s">
        <v>1853</v>
      </c>
      <c r="E310" s="6" t="s">
        <v>103</v>
      </c>
      <c r="F310" s="6" t="s">
        <v>22</v>
      </c>
      <c r="G310" s="5" t="s">
        <v>23</v>
      </c>
      <c r="H310" s="5"/>
      <c r="I310" s="5"/>
      <c r="J310" s="54">
        <v>4000</v>
      </c>
      <c r="K310" s="6" t="s">
        <v>1854</v>
      </c>
      <c r="L310" s="6" t="s">
        <v>1855</v>
      </c>
      <c r="M310" s="6" t="b">
        <v>0</v>
      </c>
      <c r="N310" s="6" t="s">
        <v>1856</v>
      </c>
      <c r="O310" s="6" t="s">
        <v>243</v>
      </c>
      <c r="P310" s="6" t="s">
        <v>28</v>
      </c>
      <c r="Q310" s="6" t="s">
        <v>1857</v>
      </c>
      <c r="R310" s="6" t="s">
        <v>871</v>
      </c>
      <c r="S310" s="5" t="s">
        <v>3323</v>
      </c>
      <c r="T310" s="10"/>
      <c r="U310" s="6"/>
    </row>
    <row r="311" spans="1:21" x14ac:dyDescent="0.2">
      <c r="A311" s="8">
        <v>4.92</v>
      </c>
      <c r="B311" s="5" t="s">
        <v>1787</v>
      </c>
      <c r="C311" s="5" t="s">
        <v>863</v>
      </c>
      <c r="D311" s="6" t="s">
        <v>1858</v>
      </c>
      <c r="E311" s="6" t="s">
        <v>219</v>
      </c>
      <c r="F311" s="6" t="s">
        <v>810</v>
      </c>
      <c r="G311" s="5" t="s">
        <v>23</v>
      </c>
      <c r="H311" s="5"/>
      <c r="I311" s="5"/>
      <c r="J311" s="54">
        <v>0</v>
      </c>
      <c r="K311" s="6" t="s">
        <v>1859</v>
      </c>
      <c r="L311" s="6" t="s">
        <v>1860</v>
      </c>
      <c r="M311" s="6" t="b">
        <v>0</v>
      </c>
      <c r="N311" s="6" t="s">
        <v>1861</v>
      </c>
      <c r="O311" s="6" t="s">
        <v>1862</v>
      </c>
      <c r="P311" s="6" t="s">
        <v>38</v>
      </c>
      <c r="Q311" s="6" t="s">
        <v>1863</v>
      </c>
      <c r="R311" s="6" t="s">
        <v>871</v>
      </c>
      <c r="S311" s="5" t="s">
        <v>3323</v>
      </c>
      <c r="T311" s="10"/>
      <c r="U311" s="6"/>
    </row>
    <row r="312" spans="1:21" hidden="1" x14ac:dyDescent="0.2">
      <c r="A312">
        <v>4.88</v>
      </c>
      <c r="B312" t="s">
        <v>514</v>
      </c>
      <c r="C312" t="s">
        <v>863</v>
      </c>
      <c r="D312" t="s">
        <v>1899</v>
      </c>
      <c r="E312" t="s">
        <v>103</v>
      </c>
      <c r="F312" t="s">
        <v>290</v>
      </c>
      <c r="G312" t="s">
        <v>23</v>
      </c>
      <c r="J312">
        <v>0</v>
      </c>
      <c r="K312" t="s">
        <v>291</v>
      </c>
      <c r="L312" t="s">
        <v>1900</v>
      </c>
      <c r="M312" t="b">
        <v>0</v>
      </c>
      <c r="N312" t="s">
        <v>1901</v>
      </c>
      <c r="O312" t="s">
        <v>243</v>
      </c>
      <c r="P312" t="s">
        <v>1902</v>
      </c>
      <c r="Q312" t="s">
        <v>1903</v>
      </c>
      <c r="R312" t="s">
        <v>871</v>
      </c>
      <c r="S312" t="s">
        <v>3323</v>
      </c>
      <c r="T312" s="2"/>
    </row>
    <row r="313" spans="1:21" hidden="1" x14ac:dyDescent="0.2">
      <c r="A313">
        <v>4.88</v>
      </c>
      <c r="B313" t="s">
        <v>514</v>
      </c>
      <c r="C313" t="s">
        <v>863</v>
      </c>
      <c r="D313" t="s">
        <v>1904</v>
      </c>
      <c r="E313" t="s">
        <v>1905</v>
      </c>
      <c r="F313" t="s">
        <v>120</v>
      </c>
      <c r="G313" t="s">
        <v>23</v>
      </c>
      <c r="J313">
        <v>0</v>
      </c>
      <c r="K313" t="s">
        <v>1906</v>
      </c>
      <c r="L313" t="s">
        <v>1907</v>
      </c>
      <c r="M313" t="b">
        <v>0</v>
      </c>
      <c r="N313" t="s">
        <v>1908</v>
      </c>
      <c r="O313" t="s">
        <v>1909</v>
      </c>
      <c r="P313" t="s">
        <v>1910</v>
      </c>
      <c r="Q313" t="s">
        <v>1911</v>
      </c>
      <c r="R313" t="s">
        <v>871</v>
      </c>
      <c r="S313" t="s">
        <v>3323</v>
      </c>
      <c r="T313" s="2"/>
    </row>
    <row r="314" spans="1:21" x14ac:dyDescent="0.2">
      <c r="A314" s="8">
        <v>4.92</v>
      </c>
      <c r="B314" s="5" t="s">
        <v>1787</v>
      </c>
      <c r="C314" s="5" t="s">
        <v>101</v>
      </c>
      <c r="D314" s="6" t="s">
        <v>1864</v>
      </c>
      <c r="E314" s="6" t="s">
        <v>103</v>
      </c>
      <c r="F314" s="6" t="s">
        <v>120</v>
      </c>
      <c r="G314" s="5" t="s">
        <v>104</v>
      </c>
      <c r="H314" s="5"/>
      <c r="I314" s="5"/>
      <c r="J314" s="54">
        <v>0</v>
      </c>
      <c r="K314" s="6" t="s">
        <v>291</v>
      </c>
      <c r="L314" s="6" t="s">
        <v>1865</v>
      </c>
      <c r="M314" s="6" t="b">
        <v>0</v>
      </c>
      <c r="N314" s="6" t="s">
        <v>1866</v>
      </c>
      <c r="O314" s="6" t="s">
        <v>1867</v>
      </c>
      <c r="P314" s="6" t="s">
        <v>38</v>
      </c>
      <c r="Q314" s="6" t="s">
        <v>1868</v>
      </c>
      <c r="R314" s="6" t="s">
        <v>110</v>
      </c>
      <c r="S314" s="5" t="s">
        <v>3323</v>
      </c>
      <c r="T314" s="10"/>
      <c r="U314" s="6"/>
    </row>
    <row r="315" spans="1:21" x14ac:dyDescent="0.2">
      <c r="A315" s="8">
        <v>4.91</v>
      </c>
      <c r="B315" s="5" t="s">
        <v>1787</v>
      </c>
      <c r="C315" s="5" t="s">
        <v>863</v>
      </c>
      <c r="D315" s="6" t="s">
        <v>1869</v>
      </c>
      <c r="E315" s="6" t="s">
        <v>1870</v>
      </c>
      <c r="F315" s="6" t="s">
        <v>42</v>
      </c>
      <c r="G315" s="5" t="s">
        <v>23</v>
      </c>
      <c r="H315" s="5"/>
      <c r="I315" s="5"/>
      <c r="J315" s="54">
        <v>0</v>
      </c>
      <c r="K315" s="6" t="s">
        <v>1871</v>
      </c>
      <c r="L315" s="6" t="s">
        <v>1872</v>
      </c>
      <c r="M315" s="6" t="b">
        <v>0</v>
      </c>
      <c r="N315" s="6" t="s">
        <v>1873</v>
      </c>
      <c r="O315" s="6" t="s">
        <v>1874</v>
      </c>
      <c r="P315" s="6" t="s">
        <v>38</v>
      </c>
      <c r="Q315" s="6" t="s">
        <v>1875</v>
      </c>
      <c r="R315" s="6" t="s">
        <v>871</v>
      </c>
      <c r="S315" s="5" t="s">
        <v>3323</v>
      </c>
      <c r="T315" s="10"/>
      <c r="U315" s="6"/>
    </row>
    <row r="316" spans="1:21" x14ac:dyDescent="0.2">
      <c r="A316" s="8">
        <v>4.8899999999999997</v>
      </c>
      <c r="B316" s="5" t="s">
        <v>1787</v>
      </c>
      <c r="C316" s="5" t="s">
        <v>101</v>
      </c>
      <c r="D316" s="6" t="s">
        <v>1887</v>
      </c>
      <c r="E316" s="6" t="s">
        <v>103</v>
      </c>
      <c r="F316" s="6" t="s">
        <v>33</v>
      </c>
      <c r="G316" s="5" t="s">
        <v>104</v>
      </c>
      <c r="H316" s="5"/>
      <c r="I316" s="5"/>
      <c r="J316" s="54">
        <v>0</v>
      </c>
      <c r="K316" s="6" t="s">
        <v>1888</v>
      </c>
      <c r="L316" s="6" t="s">
        <v>1888</v>
      </c>
      <c r="M316" s="6" t="b">
        <v>0</v>
      </c>
      <c r="N316" s="6" t="s">
        <v>1889</v>
      </c>
      <c r="O316" s="6" t="s">
        <v>1888</v>
      </c>
      <c r="P316" s="6" t="s">
        <v>1890</v>
      </c>
      <c r="Q316" s="6" t="s">
        <v>1891</v>
      </c>
      <c r="R316" s="6" t="s">
        <v>110</v>
      </c>
      <c r="S316" s="5" t="s">
        <v>3323</v>
      </c>
      <c r="T316" s="10"/>
      <c r="U316" s="6"/>
    </row>
    <row r="317" spans="1:21" x14ac:dyDescent="0.2">
      <c r="A317" s="8">
        <v>4.8899999999999997</v>
      </c>
      <c r="B317" s="5" t="s">
        <v>1787</v>
      </c>
      <c r="C317" s="5" t="s">
        <v>101</v>
      </c>
      <c r="D317" s="6" t="s">
        <v>1892</v>
      </c>
      <c r="E317" s="6" t="s">
        <v>1893</v>
      </c>
      <c r="F317" s="6" t="s">
        <v>33</v>
      </c>
      <c r="G317" s="5" t="s">
        <v>104</v>
      </c>
      <c r="H317" s="5"/>
      <c r="I317" s="5"/>
      <c r="J317" s="54">
        <v>0</v>
      </c>
      <c r="K317" s="6" t="s">
        <v>1894</v>
      </c>
      <c r="L317" s="6" t="s">
        <v>1895</v>
      </c>
      <c r="M317" s="6" t="b">
        <v>0</v>
      </c>
      <c r="N317" s="6" t="s">
        <v>1896</v>
      </c>
      <c r="O317" s="6" t="s">
        <v>1897</v>
      </c>
      <c r="P317" s="6" t="s">
        <v>28</v>
      </c>
      <c r="Q317" s="6" t="s">
        <v>1898</v>
      </c>
      <c r="R317" s="6" t="s">
        <v>110</v>
      </c>
      <c r="S317" s="5" t="s">
        <v>3323</v>
      </c>
      <c r="T317" s="10"/>
      <c r="U317" s="6"/>
    </row>
    <row r="318" spans="1:21" x14ac:dyDescent="0.2">
      <c r="A318" s="8">
        <v>4.87</v>
      </c>
      <c r="B318" s="5" t="s">
        <v>1787</v>
      </c>
      <c r="C318" s="5" t="s">
        <v>863</v>
      </c>
      <c r="D318" s="6" t="s">
        <v>1912</v>
      </c>
      <c r="E318" s="6" t="s">
        <v>1913</v>
      </c>
      <c r="F318" s="6" t="s">
        <v>427</v>
      </c>
      <c r="G318" s="5" t="s">
        <v>23</v>
      </c>
      <c r="H318" s="5"/>
      <c r="I318" s="5"/>
      <c r="J318" s="54">
        <v>0</v>
      </c>
      <c r="K318" s="6" t="s">
        <v>817</v>
      </c>
      <c r="L318" s="6" t="s">
        <v>1914</v>
      </c>
      <c r="M318" s="6" t="b">
        <v>0</v>
      </c>
      <c r="N318" s="6" t="s">
        <v>1915</v>
      </c>
      <c r="O318" s="6" t="s">
        <v>1916</v>
      </c>
      <c r="P318" s="6" t="s">
        <v>38</v>
      </c>
      <c r="Q318" s="6" t="s">
        <v>1917</v>
      </c>
      <c r="R318" s="6" t="s">
        <v>871</v>
      </c>
      <c r="S318" s="5" t="s">
        <v>3323</v>
      </c>
      <c r="T318" s="10"/>
      <c r="U318" s="6"/>
    </row>
    <row r="319" spans="1:21" x14ac:dyDescent="0.2">
      <c r="A319" s="8">
        <v>4.87</v>
      </c>
      <c r="B319" s="5" t="s">
        <v>1787</v>
      </c>
      <c r="C319" s="5" t="s">
        <v>863</v>
      </c>
      <c r="D319" s="6" t="s">
        <v>1918</v>
      </c>
      <c r="E319" s="6" t="s">
        <v>574</v>
      </c>
      <c r="F319" s="6" t="s">
        <v>427</v>
      </c>
      <c r="G319" s="5" t="s">
        <v>23</v>
      </c>
      <c r="H319" s="5"/>
      <c r="I319" s="5"/>
      <c r="J319" s="54">
        <v>0</v>
      </c>
      <c r="K319" s="6" t="s">
        <v>1919</v>
      </c>
      <c r="L319" s="6" t="s">
        <v>1920</v>
      </c>
      <c r="M319" s="6" t="b">
        <v>0</v>
      </c>
      <c r="N319" s="6" t="s">
        <v>1921</v>
      </c>
      <c r="O319" s="6" t="s">
        <v>1922</v>
      </c>
      <c r="P319" s="6" t="s">
        <v>38</v>
      </c>
      <c r="Q319" s="6" t="s">
        <v>1923</v>
      </c>
      <c r="R319" s="6" t="s">
        <v>871</v>
      </c>
      <c r="S319" s="5" t="s">
        <v>3323</v>
      </c>
      <c r="T319" s="10"/>
      <c r="U319" s="6"/>
    </row>
    <row r="320" spans="1:21" hidden="1" x14ac:dyDescent="0.2">
      <c r="A320">
        <v>4.8600000000000003</v>
      </c>
      <c r="B320" t="s">
        <v>514</v>
      </c>
      <c r="C320" t="s">
        <v>101</v>
      </c>
      <c r="D320" t="s">
        <v>1942</v>
      </c>
      <c r="E320" t="s">
        <v>103</v>
      </c>
      <c r="F320" t="s">
        <v>22</v>
      </c>
      <c r="G320" t="s">
        <v>104</v>
      </c>
      <c r="J320">
        <v>0</v>
      </c>
      <c r="K320" t="s">
        <v>1943</v>
      </c>
      <c r="L320" t="s">
        <v>1944</v>
      </c>
      <c r="M320" t="b">
        <v>0</v>
      </c>
      <c r="N320" t="s">
        <v>1945</v>
      </c>
      <c r="O320" t="s">
        <v>243</v>
      </c>
      <c r="P320" t="s">
        <v>1946</v>
      </c>
      <c r="Q320" t="s">
        <v>1947</v>
      </c>
      <c r="R320" t="s">
        <v>110</v>
      </c>
      <c r="S320" t="s">
        <v>3323</v>
      </c>
      <c r="T320" s="2"/>
    </row>
    <row r="321" spans="1:21" x14ac:dyDescent="0.2">
      <c r="A321" s="8">
        <v>4.87</v>
      </c>
      <c r="B321" s="5" t="s">
        <v>1787</v>
      </c>
      <c r="C321" s="5" t="s">
        <v>101</v>
      </c>
      <c r="D321" s="6" t="s">
        <v>1924</v>
      </c>
      <c r="E321" s="6" t="s">
        <v>1925</v>
      </c>
      <c r="F321" s="6" t="s">
        <v>73</v>
      </c>
      <c r="G321" s="5" t="s">
        <v>104</v>
      </c>
      <c r="H321" s="5"/>
      <c r="I321" s="5"/>
      <c r="J321" s="54">
        <v>0</v>
      </c>
      <c r="K321" s="6" t="s">
        <v>1198</v>
      </c>
      <c r="L321" s="6" t="s">
        <v>1926</v>
      </c>
      <c r="M321" s="6" t="b">
        <v>0</v>
      </c>
      <c r="N321" s="6" t="s">
        <v>1927</v>
      </c>
      <c r="O321" s="6" t="s">
        <v>1928</v>
      </c>
      <c r="P321" s="6" t="s">
        <v>38</v>
      </c>
      <c r="Q321" s="6" t="s">
        <v>1929</v>
      </c>
      <c r="R321" s="6" t="s">
        <v>110</v>
      </c>
      <c r="S321" s="5" t="s">
        <v>3323</v>
      </c>
      <c r="T321" s="10"/>
      <c r="U321" s="6"/>
    </row>
    <row r="322" spans="1:21" x14ac:dyDescent="0.2">
      <c r="A322" s="8">
        <v>4.87</v>
      </c>
      <c r="B322" s="5" t="s">
        <v>1787</v>
      </c>
      <c r="C322" s="5" t="s">
        <v>101</v>
      </c>
      <c r="D322" s="6" t="s">
        <v>1930</v>
      </c>
      <c r="E322" s="6" t="s">
        <v>103</v>
      </c>
      <c r="F322" s="6" t="s">
        <v>290</v>
      </c>
      <c r="G322" s="5" t="s">
        <v>104</v>
      </c>
      <c r="H322" s="5"/>
      <c r="I322" s="5"/>
      <c r="J322" s="54">
        <v>0</v>
      </c>
      <c r="K322" s="6" t="s">
        <v>291</v>
      </c>
      <c r="L322" s="6" t="s">
        <v>210</v>
      </c>
      <c r="M322" s="6" t="b">
        <v>0</v>
      </c>
      <c r="N322" s="6" t="s">
        <v>1174</v>
      </c>
      <c r="O322" s="6" t="s">
        <v>1594</v>
      </c>
      <c r="P322" s="6" t="s">
        <v>28</v>
      </c>
      <c r="Q322" s="6" t="s">
        <v>1931</v>
      </c>
      <c r="R322" s="6" t="s">
        <v>110</v>
      </c>
      <c r="S322" s="5" t="s">
        <v>3323</v>
      </c>
      <c r="T322" s="10"/>
      <c r="U322" s="6"/>
    </row>
    <row r="323" spans="1:21" hidden="1" x14ac:dyDescent="0.2">
      <c r="A323">
        <v>4.83</v>
      </c>
      <c r="B323" t="s">
        <v>514</v>
      </c>
      <c r="C323" t="s">
        <v>101</v>
      </c>
      <c r="D323" t="s">
        <v>1958</v>
      </c>
      <c r="E323" t="s">
        <v>399</v>
      </c>
      <c r="F323" t="s">
        <v>33</v>
      </c>
      <c r="G323" t="s">
        <v>104</v>
      </c>
      <c r="H323" s="1">
        <v>46248</v>
      </c>
      <c r="I323">
        <v>0</v>
      </c>
      <c r="J323">
        <v>0</v>
      </c>
      <c r="K323" t="s">
        <v>1959</v>
      </c>
      <c r="L323" t="s">
        <v>1960</v>
      </c>
      <c r="M323" t="b">
        <v>0</v>
      </c>
      <c r="N323" t="s">
        <v>1961</v>
      </c>
      <c r="O323" t="s">
        <v>1962</v>
      </c>
      <c r="P323" t="s">
        <v>1963</v>
      </c>
      <c r="Q323" t="s">
        <v>1964</v>
      </c>
      <c r="R323" t="s">
        <v>110</v>
      </c>
      <c r="S323" t="s">
        <v>3323</v>
      </c>
      <c r="T323" s="2"/>
    </row>
    <row r="324" spans="1:21" hidden="1" x14ac:dyDescent="0.2">
      <c r="A324">
        <v>4.8</v>
      </c>
      <c r="B324" t="s">
        <v>514</v>
      </c>
      <c r="C324" t="s">
        <v>101</v>
      </c>
      <c r="D324" t="s">
        <v>1965</v>
      </c>
      <c r="E324" t="s">
        <v>1966</v>
      </c>
      <c r="F324" t="s">
        <v>427</v>
      </c>
      <c r="G324" t="s">
        <v>104</v>
      </c>
      <c r="J324">
        <v>1000000</v>
      </c>
      <c r="K324" t="s">
        <v>1967</v>
      </c>
      <c r="L324" t="s">
        <v>493</v>
      </c>
      <c r="M324" t="b">
        <v>1</v>
      </c>
      <c r="N324" t="s">
        <v>1968</v>
      </c>
      <c r="O324" t="s">
        <v>1966</v>
      </c>
      <c r="P324" t="s">
        <v>1969</v>
      </c>
      <c r="Q324" t="s">
        <v>1970</v>
      </c>
      <c r="R324" t="s">
        <v>110</v>
      </c>
      <c r="S324" t="s">
        <v>3323</v>
      </c>
      <c r="T324" s="2"/>
    </row>
    <row r="325" spans="1:21" x14ac:dyDescent="0.2">
      <c r="A325" s="8">
        <v>4.8600000000000003</v>
      </c>
      <c r="B325" s="5" t="s">
        <v>1787</v>
      </c>
      <c r="C325" s="5" t="s">
        <v>863</v>
      </c>
      <c r="D325" s="6" t="s">
        <v>1932</v>
      </c>
      <c r="E325" s="6" t="s">
        <v>1140</v>
      </c>
      <c r="F325" s="6" t="s">
        <v>810</v>
      </c>
      <c r="G325" s="5" t="s">
        <v>23</v>
      </c>
      <c r="H325" s="5"/>
      <c r="I325" s="5"/>
      <c r="J325" s="54">
        <v>0</v>
      </c>
      <c r="K325" s="6" t="s">
        <v>1933</v>
      </c>
      <c r="L325" s="6" t="s">
        <v>1934</v>
      </c>
      <c r="M325" s="6" t="b">
        <v>0</v>
      </c>
      <c r="N325" s="6" t="s">
        <v>1935</v>
      </c>
      <c r="O325" s="6" t="s">
        <v>1936</v>
      </c>
      <c r="P325" s="6" t="s">
        <v>38</v>
      </c>
      <c r="Q325" s="6" t="s">
        <v>1937</v>
      </c>
      <c r="R325" s="6" t="s">
        <v>871</v>
      </c>
      <c r="S325" s="5" t="s">
        <v>3323</v>
      </c>
      <c r="T325" s="10"/>
      <c r="U325" s="6"/>
    </row>
    <row r="326" spans="1:21" x14ac:dyDescent="0.2">
      <c r="A326" s="8">
        <v>4.8600000000000003</v>
      </c>
      <c r="B326" s="5" t="s">
        <v>1787</v>
      </c>
      <c r="C326" s="5" t="s">
        <v>863</v>
      </c>
      <c r="D326" s="6" t="s">
        <v>1938</v>
      </c>
      <c r="E326" s="6" t="s">
        <v>1203</v>
      </c>
      <c r="F326" s="6" t="s">
        <v>42</v>
      </c>
      <c r="G326" s="5" t="s">
        <v>23</v>
      </c>
      <c r="H326" s="5"/>
      <c r="I326" s="5"/>
      <c r="J326" s="54">
        <v>0</v>
      </c>
      <c r="K326" s="6" t="s">
        <v>59</v>
      </c>
      <c r="L326" s="6" t="s">
        <v>59</v>
      </c>
      <c r="M326" s="6" t="b">
        <v>0</v>
      </c>
      <c r="N326" s="6" t="s">
        <v>1939</v>
      </c>
      <c r="O326" s="6" t="s">
        <v>1940</v>
      </c>
      <c r="P326" s="6" t="s">
        <v>28</v>
      </c>
      <c r="Q326" s="6" t="s">
        <v>1941</v>
      </c>
      <c r="R326" s="6" t="s">
        <v>871</v>
      </c>
      <c r="S326" s="5" t="s">
        <v>3323</v>
      </c>
      <c r="T326" s="10"/>
      <c r="U326" s="6"/>
    </row>
    <row r="327" spans="1:21" x14ac:dyDescent="0.2">
      <c r="A327" s="8">
        <v>4.8600000000000003</v>
      </c>
      <c r="B327" s="5" t="s">
        <v>1787</v>
      </c>
      <c r="C327" s="5" t="s">
        <v>863</v>
      </c>
      <c r="D327" s="6" t="s">
        <v>1948</v>
      </c>
      <c r="E327" s="6" t="s">
        <v>1203</v>
      </c>
      <c r="F327" s="6" t="s">
        <v>42</v>
      </c>
      <c r="G327" s="5" t="s">
        <v>23</v>
      </c>
      <c r="H327" s="5"/>
      <c r="I327" s="5"/>
      <c r="J327" s="54">
        <v>0</v>
      </c>
      <c r="K327" s="6" t="s">
        <v>1949</v>
      </c>
      <c r="L327" s="6" t="s">
        <v>1950</v>
      </c>
      <c r="M327" s="6" t="b">
        <v>0</v>
      </c>
      <c r="N327" s="6" t="s">
        <v>1951</v>
      </c>
      <c r="O327" s="6" t="s">
        <v>1952</v>
      </c>
      <c r="P327" s="6"/>
      <c r="Q327" s="6" t="s">
        <v>1941</v>
      </c>
      <c r="R327" s="6" t="s">
        <v>871</v>
      </c>
      <c r="S327" s="5" t="s">
        <v>3323</v>
      </c>
      <c r="T327" s="10"/>
      <c r="U327" s="6"/>
    </row>
    <row r="328" spans="1:21" x14ac:dyDescent="0.2">
      <c r="A328" s="8">
        <v>4.8600000000000003</v>
      </c>
      <c r="B328" s="5" t="s">
        <v>1787</v>
      </c>
      <c r="C328" s="5" t="s">
        <v>863</v>
      </c>
      <c r="D328" s="6" t="s">
        <v>1953</v>
      </c>
      <c r="E328" s="6" t="s">
        <v>1954</v>
      </c>
      <c r="F328" s="6" t="s">
        <v>42</v>
      </c>
      <c r="G328" s="5" t="s">
        <v>23</v>
      </c>
      <c r="H328" s="5"/>
      <c r="I328" s="5"/>
      <c r="J328" s="54">
        <v>0</v>
      </c>
      <c r="K328" s="6" t="s">
        <v>1198</v>
      </c>
      <c r="L328" s="6" t="s">
        <v>1955</v>
      </c>
      <c r="M328" s="6" t="b">
        <v>0</v>
      </c>
      <c r="N328" s="6" t="s">
        <v>59</v>
      </c>
      <c r="O328" s="6" t="s">
        <v>1956</v>
      </c>
      <c r="P328" s="6"/>
      <c r="Q328" s="6" t="s">
        <v>1957</v>
      </c>
      <c r="R328" s="6" t="s">
        <v>871</v>
      </c>
      <c r="S328" s="5" t="s">
        <v>3323</v>
      </c>
      <c r="T328" s="10"/>
      <c r="U328" s="6"/>
    </row>
    <row r="329" spans="1:21" x14ac:dyDescent="0.2">
      <c r="A329" s="8">
        <v>4.8</v>
      </c>
      <c r="B329" s="5" t="s">
        <v>1787</v>
      </c>
      <c r="C329" s="5" t="s">
        <v>101</v>
      </c>
      <c r="D329" s="6" t="s">
        <v>1971</v>
      </c>
      <c r="E329" s="6" t="s">
        <v>103</v>
      </c>
      <c r="F329" s="6" t="s">
        <v>22</v>
      </c>
      <c r="G329" s="5" t="s">
        <v>104</v>
      </c>
      <c r="H329" s="5"/>
      <c r="I329" s="5"/>
      <c r="J329" s="54">
        <v>0</v>
      </c>
      <c r="K329" s="6" t="s">
        <v>1972</v>
      </c>
      <c r="L329" s="6" t="s">
        <v>59</v>
      </c>
      <c r="M329" s="6" t="b">
        <v>0</v>
      </c>
      <c r="N329" s="6" t="s">
        <v>1174</v>
      </c>
      <c r="O329" s="6" t="s">
        <v>274</v>
      </c>
      <c r="P329" s="6" t="s">
        <v>28</v>
      </c>
      <c r="Q329" s="6" t="s">
        <v>1973</v>
      </c>
      <c r="R329" s="6" t="s">
        <v>110</v>
      </c>
      <c r="S329" s="5" t="s">
        <v>3323</v>
      </c>
      <c r="T329" s="10"/>
      <c r="U329" s="6"/>
    </row>
    <row r="330" spans="1:21" hidden="1" x14ac:dyDescent="0.2">
      <c r="A330">
        <v>4.78</v>
      </c>
      <c r="B330" t="s">
        <v>514</v>
      </c>
      <c r="C330" t="s">
        <v>863</v>
      </c>
      <c r="D330" t="s">
        <v>1990</v>
      </c>
      <c r="E330" t="s">
        <v>626</v>
      </c>
      <c r="F330" t="s">
        <v>22</v>
      </c>
      <c r="G330" t="s">
        <v>23</v>
      </c>
      <c r="J330">
        <v>952000</v>
      </c>
      <c r="K330" t="s">
        <v>1991</v>
      </c>
      <c r="L330" t="s">
        <v>1992</v>
      </c>
      <c r="M330" t="b">
        <v>0</v>
      </c>
      <c r="N330" t="s">
        <v>28</v>
      </c>
      <c r="O330" t="s">
        <v>1993</v>
      </c>
      <c r="P330" t="s">
        <v>1994</v>
      </c>
      <c r="Q330" t="s">
        <v>1995</v>
      </c>
      <c r="R330" t="s">
        <v>871</v>
      </c>
      <c r="S330" t="s">
        <v>3323</v>
      </c>
      <c r="T330" s="2"/>
    </row>
    <row r="331" spans="1:21" x14ac:dyDescent="0.2">
      <c r="A331" s="8">
        <v>4.8</v>
      </c>
      <c r="B331" s="5" t="s">
        <v>1787</v>
      </c>
      <c r="C331" s="5" t="s">
        <v>863</v>
      </c>
      <c r="D331" s="6" t="s">
        <v>1974</v>
      </c>
      <c r="E331" s="6" t="s">
        <v>466</v>
      </c>
      <c r="F331" s="6" t="s">
        <v>120</v>
      </c>
      <c r="G331" s="5" t="s">
        <v>23</v>
      </c>
      <c r="H331" s="5"/>
      <c r="I331" s="5"/>
      <c r="J331" s="54">
        <v>0</v>
      </c>
      <c r="K331" s="6" t="s">
        <v>1975</v>
      </c>
      <c r="L331" s="6" t="s">
        <v>1976</v>
      </c>
      <c r="M331" s="6" t="b">
        <v>0</v>
      </c>
      <c r="N331" s="6" t="s">
        <v>1977</v>
      </c>
      <c r="O331" s="6" t="s">
        <v>1978</v>
      </c>
      <c r="P331" s="6" t="s">
        <v>38</v>
      </c>
      <c r="Q331" s="6" t="s">
        <v>39</v>
      </c>
      <c r="R331" s="6" t="s">
        <v>871</v>
      </c>
      <c r="S331" s="5" t="s">
        <v>3323</v>
      </c>
      <c r="T331" s="10"/>
      <c r="U331" s="6"/>
    </row>
    <row r="332" spans="1:21" hidden="1" x14ac:dyDescent="0.2">
      <c r="A332">
        <v>4.76</v>
      </c>
      <c r="B332" t="s">
        <v>514</v>
      </c>
      <c r="C332" t="s">
        <v>863</v>
      </c>
      <c r="D332" t="s">
        <v>2001</v>
      </c>
      <c r="E332" t="s">
        <v>2002</v>
      </c>
      <c r="F332" t="s">
        <v>427</v>
      </c>
      <c r="G332" t="s">
        <v>23</v>
      </c>
      <c r="J332">
        <v>0</v>
      </c>
      <c r="K332" t="s">
        <v>758</v>
      </c>
      <c r="L332" t="s">
        <v>2003</v>
      </c>
      <c r="M332" t="b">
        <v>0</v>
      </c>
      <c r="N332" t="s">
        <v>2004</v>
      </c>
      <c r="O332" t="s">
        <v>2005</v>
      </c>
      <c r="P332" t="s">
        <v>2006</v>
      </c>
      <c r="Q332" t="s">
        <v>2007</v>
      </c>
      <c r="R332" t="s">
        <v>871</v>
      </c>
      <c r="S332" t="s">
        <v>3323</v>
      </c>
      <c r="T332" s="2"/>
    </row>
    <row r="333" spans="1:21" hidden="1" x14ac:dyDescent="0.2">
      <c r="A333">
        <v>4.75</v>
      </c>
      <c r="B333" t="s">
        <v>514</v>
      </c>
      <c r="C333" t="s">
        <v>863</v>
      </c>
      <c r="D333" t="s">
        <v>2008</v>
      </c>
      <c r="E333" t="s">
        <v>2009</v>
      </c>
      <c r="F333" t="s">
        <v>22</v>
      </c>
      <c r="G333" t="s">
        <v>23</v>
      </c>
      <c r="H333" s="1">
        <v>46323</v>
      </c>
      <c r="I333">
        <v>75</v>
      </c>
      <c r="J333">
        <v>0</v>
      </c>
      <c r="K333" t="s">
        <v>2010</v>
      </c>
      <c r="L333" t="s">
        <v>2011</v>
      </c>
      <c r="M333" t="b">
        <v>1</v>
      </c>
      <c r="N333" t="s">
        <v>2012</v>
      </c>
      <c r="O333" t="s">
        <v>2013</v>
      </c>
      <c r="P333" t="s">
        <v>2014</v>
      </c>
      <c r="Q333" t="s">
        <v>2015</v>
      </c>
      <c r="R333" t="s">
        <v>871</v>
      </c>
      <c r="S333" t="s">
        <v>3323</v>
      </c>
      <c r="T333" s="2"/>
    </row>
    <row r="334" spans="1:21" hidden="1" x14ac:dyDescent="0.2">
      <c r="A334">
        <v>4.75</v>
      </c>
      <c r="B334" t="s">
        <v>514</v>
      </c>
      <c r="C334" t="s">
        <v>863</v>
      </c>
      <c r="D334" t="s">
        <v>2016</v>
      </c>
      <c r="E334" t="s">
        <v>2009</v>
      </c>
      <c r="F334" t="s">
        <v>22</v>
      </c>
      <c r="G334" t="s">
        <v>23</v>
      </c>
      <c r="H334" s="1">
        <v>46281</v>
      </c>
      <c r="I334">
        <v>33</v>
      </c>
      <c r="J334">
        <v>0</v>
      </c>
      <c r="K334" t="s">
        <v>2017</v>
      </c>
      <c r="L334" t="s">
        <v>2018</v>
      </c>
      <c r="M334" t="b">
        <v>1</v>
      </c>
      <c r="N334" t="s">
        <v>2019</v>
      </c>
      <c r="O334" t="s">
        <v>2020</v>
      </c>
      <c r="P334" t="s">
        <v>2021</v>
      </c>
      <c r="Q334" t="s">
        <v>2022</v>
      </c>
      <c r="R334" t="s">
        <v>871</v>
      </c>
      <c r="S334" t="s">
        <v>3323</v>
      </c>
      <c r="T334" s="2"/>
    </row>
    <row r="335" spans="1:21" x14ac:dyDescent="0.2">
      <c r="A335" s="8">
        <v>4.8</v>
      </c>
      <c r="B335" s="5" t="s">
        <v>1787</v>
      </c>
      <c r="C335" s="5" t="s">
        <v>101</v>
      </c>
      <c r="D335" s="6" t="s">
        <v>1979</v>
      </c>
      <c r="E335" s="6" t="s">
        <v>1980</v>
      </c>
      <c r="F335" s="6" t="s">
        <v>427</v>
      </c>
      <c r="G335" s="5" t="s">
        <v>104</v>
      </c>
      <c r="H335" s="5"/>
      <c r="I335" s="5"/>
      <c r="J335" s="54">
        <v>0</v>
      </c>
      <c r="K335" s="6" t="s">
        <v>1981</v>
      </c>
      <c r="L335" s="6" t="s">
        <v>59</v>
      </c>
      <c r="M335" s="6" t="b">
        <v>0</v>
      </c>
      <c r="N335" s="6" t="s">
        <v>28</v>
      </c>
      <c r="O335" s="6" t="s">
        <v>1982</v>
      </c>
      <c r="P335" s="6" t="s">
        <v>28</v>
      </c>
      <c r="Q335" s="6" t="s">
        <v>1983</v>
      </c>
      <c r="R335" s="6" t="s">
        <v>110</v>
      </c>
      <c r="S335" s="5" t="s">
        <v>3323</v>
      </c>
      <c r="T335" s="10"/>
      <c r="U335" s="6"/>
    </row>
    <row r="336" spans="1:21" x14ac:dyDescent="0.2">
      <c r="A336" s="8">
        <v>4.78</v>
      </c>
      <c r="B336" s="5" t="s">
        <v>1787</v>
      </c>
      <c r="C336" s="5" t="s">
        <v>101</v>
      </c>
      <c r="D336" s="6" t="s">
        <v>1984</v>
      </c>
      <c r="E336" s="6" t="s">
        <v>1985</v>
      </c>
      <c r="F336" s="6" t="s">
        <v>290</v>
      </c>
      <c r="G336" s="5" t="s">
        <v>104</v>
      </c>
      <c r="H336" s="5"/>
      <c r="I336" s="5"/>
      <c r="J336" s="54">
        <v>0</v>
      </c>
      <c r="K336" s="6" t="s">
        <v>291</v>
      </c>
      <c r="L336" s="6" t="s">
        <v>210</v>
      </c>
      <c r="M336" s="6" t="b">
        <v>0</v>
      </c>
      <c r="N336" s="6" t="s">
        <v>1174</v>
      </c>
      <c r="O336" s="6" t="s">
        <v>1986</v>
      </c>
      <c r="P336" s="6" t="s">
        <v>28</v>
      </c>
      <c r="Q336" s="6" t="s">
        <v>1987</v>
      </c>
      <c r="R336" s="6" t="s">
        <v>110</v>
      </c>
      <c r="S336" s="5" t="s">
        <v>3323</v>
      </c>
      <c r="T336" s="10"/>
      <c r="U336" s="6"/>
    </row>
    <row r="337" spans="1:21" x14ac:dyDescent="0.2">
      <c r="A337" s="8">
        <v>4.78</v>
      </c>
      <c r="B337" s="5" t="s">
        <v>1787</v>
      </c>
      <c r="C337" s="5" t="s">
        <v>101</v>
      </c>
      <c r="D337" s="6" t="s">
        <v>1988</v>
      </c>
      <c r="E337" s="6" t="s">
        <v>103</v>
      </c>
      <c r="F337" s="6" t="s">
        <v>290</v>
      </c>
      <c r="G337" s="5" t="s">
        <v>104</v>
      </c>
      <c r="H337" s="5"/>
      <c r="I337" s="5"/>
      <c r="J337" s="54">
        <v>0</v>
      </c>
      <c r="K337" s="6" t="s">
        <v>291</v>
      </c>
      <c r="L337" s="6" t="s">
        <v>210</v>
      </c>
      <c r="M337" s="6" t="b">
        <v>0</v>
      </c>
      <c r="N337" s="6" t="s">
        <v>1174</v>
      </c>
      <c r="O337" s="6" t="s">
        <v>1594</v>
      </c>
      <c r="P337" s="6" t="s">
        <v>28</v>
      </c>
      <c r="Q337" s="6" t="s">
        <v>1989</v>
      </c>
      <c r="R337" s="6" t="s">
        <v>110</v>
      </c>
      <c r="S337" s="5" t="s">
        <v>3323</v>
      </c>
      <c r="T337" s="10"/>
      <c r="U337" s="6"/>
    </row>
    <row r="338" spans="1:21" x14ac:dyDescent="0.2">
      <c r="A338" s="8">
        <v>4.76</v>
      </c>
      <c r="B338" s="5" t="s">
        <v>1787</v>
      </c>
      <c r="C338" s="5" t="s">
        <v>863</v>
      </c>
      <c r="D338" s="6" t="s">
        <v>1996</v>
      </c>
      <c r="E338" s="6" t="s">
        <v>901</v>
      </c>
      <c r="F338" s="6" t="s">
        <v>42</v>
      </c>
      <c r="G338" s="5" t="s">
        <v>23</v>
      </c>
      <c r="H338" s="5"/>
      <c r="I338" s="5"/>
      <c r="J338" s="54">
        <v>0</v>
      </c>
      <c r="K338" s="6" t="s">
        <v>1997</v>
      </c>
      <c r="L338" s="6" t="s">
        <v>1998</v>
      </c>
      <c r="M338" s="6" t="b">
        <v>0</v>
      </c>
      <c r="N338" s="6" t="s">
        <v>1999</v>
      </c>
      <c r="O338" s="6" t="s">
        <v>2000</v>
      </c>
      <c r="P338" s="6" t="s">
        <v>38</v>
      </c>
      <c r="Q338" s="6" t="s">
        <v>905</v>
      </c>
      <c r="R338" s="6" t="s">
        <v>871</v>
      </c>
      <c r="S338" s="5" t="s">
        <v>3323</v>
      </c>
      <c r="T338" s="10"/>
      <c r="U338" s="6"/>
    </row>
    <row r="339" spans="1:21" hidden="1" x14ac:dyDescent="0.2">
      <c r="A339">
        <v>4.7300000000000004</v>
      </c>
      <c r="B339" t="s">
        <v>514</v>
      </c>
      <c r="C339" t="s">
        <v>101</v>
      </c>
      <c r="D339" t="s">
        <v>2049</v>
      </c>
      <c r="E339" t="s">
        <v>2050</v>
      </c>
      <c r="F339" t="s">
        <v>22</v>
      </c>
      <c r="G339" t="s">
        <v>104</v>
      </c>
      <c r="J339">
        <v>65400</v>
      </c>
      <c r="K339" t="s">
        <v>2051</v>
      </c>
      <c r="L339" t="s">
        <v>2052</v>
      </c>
      <c r="M339" t="b">
        <v>1</v>
      </c>
      <c r="N339" t="s">
        <v>1889</v>
      </c>
      <c r="O339" t="s">
        <v>2053</v>
      </c>
      <c r="P339" t="s">
        <v>2054</v>
      </c>
      <c r="Q339" t="s">
        <v>2055</v>
      </c>
      <c r="R339" t="s">
        <v>110</v>
      </c>
      <c r="S339" t="s">
        <v>3323</v>
      </c>
      <c r="T339" s="2"/>
    </row>
    <row r="340" spans="1:21" x14ac:dyDescent="0.2">
      <c r="A340" s="8">
        <v>4.75</v>
      </c>
      <c r="B340" s="5" t="s">
        <v>1787</v>
      </c>
      <c r="C340" s="5" t="s">
        <v>101</v>
      </c>
      <c r="D340" s="6" t="s">
        <v>2023</v>
      </c>
      <c r="E340" s="6" t="s">
        <v>2024</v>
      </c>
      <c r="F340" s="6" t="s">
        <v>73</v>
      </c>
      <c r="G340" s="5" t="s">
        <v>104</v>
      </c>
      <c r="H340" s="5"/>
      <c r="I340" s="5"/>
      <c r="J340" s="54">
        <v>0</v>
      </c>
      <c r="K340" s="6" t="s">
        <v>2025</v>
      </c>
      <c r="L340" s="6" t="s">
        <v>2026</v>
      </c>
      <c r="M340" s="6" t="b">
        <v>0</v>
      </c>
      <c r="N340" s="6" t="s">
        <v>1066</v>
      </c>
      <c r="O340" s="6" t="s">
        <v>2027</v>
      </c>
      <c r="P340" s="6" t="s">
        <v>38</v>
      </c>
      <c r="Q340" s="6" t="s">
        <v>2028</v>
      </c>
      <c r="R340" s="6" t="s">
        <v>110</v>
      </c>
      <c r="S340" s="5" t="s">
        <v>3323</v>
      </c>
      <c r="T340" s="10"/>
      <c r="U340" s="6"/>
    </row>
    <row r="341" spans="1:21" x14ac:dyDescent="0.2">
      <c r="A341" s="8">
        <v>4.74</v>
      </c>
      <c r="B341" s="5" t="s">
        <v>1787</v>
      </c>
      <c r="C341" s="5" t="s">
        <v>101</v>
      </c>
      <c r="D341" s="6" t="s">
        <v>2029</v>
      </c>
      <c r="E341" s="6" t="s">
        <v>2030</v>
      </c>
      <c r="F341" s="6" t="s">
        <v>810</v>
      </c>
      <c r="G341" s="5" t="s">
        <v>104</v>
      </c>
      <c r="H341" s="5"/>
      <c r="I341" s="5"/>
      <c r="J341" s="54">
        <v>0</v>
      </c>
      <c r="K341" s="6" t="s">
        <v>2031</v>
      </c>
      <c r="L341" s="6" t="s">
        <v>2032</v>
      </c>
      <c r="M341" s="6" t="b">
        <v>0</v>
      </c>
      <c r="N341" s="6" t="s">
        <v>2033</v>
      </c>
      <c r="O341" s="6" t="s">
        <v>2034</v>
      </c>
      <c r="P341" s="6" t="s">
        <v>38</v>
      </c>
      <c r="Q341" s="6" t="s">
        <v>2035</v>
      </c>
      <c r="R341" s="6" t="s">
        <v>110</v>
      </c>
      <c r="S341" s="5" t="s">
        <v>3323</v>
      </c>
      <c r="T341" s="10"/>
      <c r="U341" s="6"/>
    </row>
    <row r="342" spans="1:21" x14ac:dyDescent="0.2">
      <c r="A342" s="8">
        <v>4.74</v>
      </c>
      <c r="B342" s="5" t="s">
        <v>1787</v>
      </c>
      <c r="C342" s="5" t="s">
        <v>101</v>
      </c>
      <c r="D342" s="6" t="s">
        <v>2036</v>
      </c>
      <c r="E342" s="6" t="s">
        <v>108</v>
      </c>
      <c r="F342" s="6" t="s">
        <v>427</v>
      </c>
      <c r="G342" s="5" t="s">
        <v>104</v>
      </c>
      <c r="H342" s="5"/>
      <c r="I342" s="5"/>
      <c r="J342" s="54">
        <v>0</v>
      </c>
      <c r="K342" s="6" t="s">
        <v>2037</v>
      </c>
      <c r="L342" s="6" t="s">
        <v>2038</v>
      </c>
      <c r="M342" s="6" t="b">
        <v>0</v>
      </c>
      <c r="N342" s="6" t="s">
        <v>2039</v>
      </c>
      <c r="O342" s="6" t="s">
        <v>2040</v>
      </c>
      <c r="P342" s="6" t="s">
        <v>2041</v>
      </c>
      <c r="Q342" s="6" t="s">
        <v>2042</v>
      </c>
      <c r="R342" s="6" t="s">
        <v>110</v>
      </c>
      <c r="S342" s="5" t="s">
        <v>3323</v>
      </c>
      <c r="T342" s="10"/>
      <c r="U342" s="6"/>
    </row>
    <row r="343" spans="1:21" x14ac:dyDescent="0.2">
      <c r="A343" s="8">
        <v>4.7300000000000004</v>
      </c>
      <c r="B343" s="5" t="s">
        <v>1787</v>
      </c>
      <c r="C343" s="5" t="s">
        <v>101</v>
      </c>
      <c r="D343" s="6" t="s">
        <v>2043</v>
      </c>
      <c r="E343" s="6" t="s">
        <v>2044</v>
      </c>
      <c r="F343" s="6" t="s">
        <v>42</v>
      </c>
      <c r="G343" s="5" t="s">
        <v>104</v>
      </c>
      <c r="H343" s="5"/>
      <c r="I343" s="5"/>
      <c r="J343" s="54">
        <v>0</v>
      </c>
      <c r="K343" s="6" t="s">
        <v>2045</v>
      </c>
      <c r="L343" s="6" t="s">
        <v>2046</v>
      </c>
      <c r="M343" s="6" t="b">
        <v>0</v>
      </c>
      <c r="N343" s="6" t="s">
        <v>1440</v>
      </c>
      <c r="O343" s="6" t="s">
        <v>2047</v>
      </c>
      <c r="P343" s="6"/>
      <c r="Q343" s="6" t="s">
        <v>2048</v>
      </c>
      <c r="R343" s="6" t="s">
        <v>110</v>
      </c>
      <c r="S343" s="5" t="s">
        <v>3323</v>
      </c>
      <c r="T343" s="10"/>
      <c r="U343" s="6"/>
    </row>
    <row r="344" spans="1:21" x14ac:dyDescent="0.2">
      <c r="A344" s="8">
        <v>4.72</v>
      </c>
      <c r="B344" s="5" t="s">
        <v>1787</v>
      </c>
      <c r="C344" s="5" t="s">
        <v>101</v>
      </c>
      <c r="D344" s="6" t="s">
        <v>2056</v>
      </c>
      <c r="E344" s="6" t="s">
        <v>2057</v>
      </c>
      <c r="F344" s="6" t="s">
        <v>42</v>
      </c>
      <c r="G344" s="5" t="s">
        <v>104</v>
      </c>
      <c r="H344" s="5"/>
      <c r="I344" s="5"/>
      <c r="J344" s="54">
        <v>25000</v>
      </c>
      <c r="K344" s="6" t="s">
        <v>2058</v>
      </c>
      <c r="L344" s="6" t="s">
        <v>2059</v>
      </c>
      <c r="M344" s="6" t="b">
        <v>0</v>
      </c>
      <c r="N344" s="6" t="s">
        <v>2060</v>
      </c>
      <c r="O344" s="6" t="s">
        <v>2061</v>
      </c>
      <c r="P344" s="6" t="s">
        <v>28</v>
      </c>
      <c r="Q344" s="6" t="s">
        <v>2062</v>
      </c>
      <c r="R344" s="6" t="s">
        <v>110</v>
      </c>
      <c r="S344" s="5" t="s">
        <v>3323</v>
      </c>
      <c r="T344" s="10"/>
      <c r="U344" s="6"/>
    </row>
    <row r="345" spans="1:21" hidden="1" x14ac:dyDescent="0.2">
      <c r="A345">
        <v>4.6900000000000004</v>
      </c>
      <c r="B345" t="s">
        <v>514</v>
      </c>
      <c r="C345" t="s">
        <v>863</v>
      </c>
      <c r="D345" t="s">
        <v>2081</v>
      </c>
      <c r="E345" t="s">
        <v>2082</v>
      </c>
      <c r="F345" t="s">
        <v>22</v>
      </c>
      <c r="G345" t="s">
        <v>23</v>
      </c>
      <c r="J345">
        <v>0</v>
      </c>
      <c r="K345" t="s">
        <v>105</v>
      </c>
      <c r="L345" t="s">
        <v>2083</v>
      </c>
      <c r="M345" t="b">
        <v>1</v>
      </c>
      <c r="N345" t="s">
        <v>2084</v>
      </c>
      <c r="O345" t="s">
        <v>274</v>
      </c>
      <c r="P345" t="s">
        <v>2085</v>
      </c>
      <c r="Q345" t="s">
        <v>2086</v>
      </c>
      <c r="R345" t="s">
        <v>871</v>
      </c>
      <c r="S345" t="s">
        <v>3323</v>
      </c>
      <c r="T345" s="2"/>
    </row>
    <row r="346" spans="1:21" x14ac:dyDescent="0.2">
      <c r="A346" s="8">
        <v>4.7</v>
      </c>
      <c r="B346" s="5" t="s">
        <v>1787</v>
      </c>
      <c r="C346" s="5" t="s">
        <v>101</v>
      </c>
      <c r="D346" s="6" t="s">
        <v>2063</v>
      </c>
      <c r="E346" s="6" t="s">
        <v>1030</v>
      </c>
      <c r="F346" s="6" t="s">
        <v>33</v>
      </c>
      <c r="G346" s="5" t="s">
        <v>104</v>
      </c>
      <c r="H346" s="5"/>
      <c r="I346" s="5"/>
      <c r="J346" s="54">
        <v>54500</v>
      </c>
      <c r="K346" s="6" t="s">
        <v>1198</v>
      </c>
      <c r="L346" s="6" t="s">
        <v>2064</v>
      </c>
      <c r="M346" s="6" t="b">
        <v>0</v>
      </c>
      <c r="N346" s="6" t="s">
        <v>59</v>
      </c>
      <c r="O346" s="6" t="s">
        <v>2065</v>
      </c>
      <c r="P346" s="6"/>
      <c r="Q346" s="6" t="s">
        <v>2066</v>
      </c>
      <c r="R346" s="6" t="s">
        <v>110</v>
      </c>
      <c r="S346" s="5" t="s">
        <v>3323</v>
      </c>
      <c r="T346" s="10"/>
      <c r="U346" s="6"/>
    </row>
    <row r="347" spans="1:21" x14ac:dyDescent="0.2">
      <c r="A347" s="8">
        <v>4.6900000000000004</v>
      </c>
      <c r="B347" s="5" t="s">
        <v>1787</v>
      </c>
      <c r="C347" s="5" t="s">
        <v>863</v>
      </c>
      <c r="D347" s="6" t="s">
        <v>2067</v>
      </c>
      <c r="E347" s="6" t="s">
        <v>2068</v>
      </c>
      <c r="F347" s="6" t="s">
        <v>42</v>
      </c>
      <c r="G347" s="5" t="s">
        <v>23</v>
      </c>
      <c r="H347" s="5"/>
      <c r="I347" s="5"/>
      <c r="J347" s="54">
        <v>0</v>
      </c>
      <c r="K347" s="6" t="s">
        <v>1871</v>
      </c>
      <c r="L347" s="6" t="s">
        <v>525</v>
      </c>
      <c r="M347" s="6" t="b">
        <v>0</v>
      </c>
      <c r="N347" s="6" t="s">
        <v>2069</v>
      </c>
      <c r="O347" s="6" t="s">
        <v>2070</v>
      </c>
      <c r="P347" s="6" t="s">
        <v>38</v>
      </c>
      <c r="Q347" s="6" t="s">
        <v>2071</v>
      </c>
      <c r="R347" s="6" t="s">
        <v>871</v>
      </c>
      <c r="S347" s="5" t="s">
        <v>3323</v>
      </c>
      <c r="T347" s="10"/>
      <c r="U347" s="6"/>
    </row>
    <row r="348" spans="1:21" x14ac:dyDescent="0.2">
      <c r="A348" s="8">
        <v>4.6900000000000004</v>
      </c>
      <c r="B348" s="5" t="s">
        <v>1787</v>
      </c>
      <c r="C348" s="5" t="s">
        <v>863</v>
      </c>
      <c r="D348" s="6" t="s">
        <v>2072</v>
      </c>
      <c r="E348" s="6" t="s">
        <v>2073</v>
      </c>
      <c r="F348" s="6" t="s">
        <v>33</v>
      </c>
      <c r="G348" s="5" t="s">
        <v>23</v>
      </c>
      <c r="H348" s="5"/>
      <c r="I348" s="5"/>
      <c r="J348" s="54">
        <v>0</v>
      </c>
      <c r="K348" s="6" t="s">
        <v>1871</v>
      </c>
      <c r="L348" s="6" t="s">
        <v>525</v>
      </c>
      <c r="M348" s="6" t="b">
        <v>0</v>
      </c>
      <c r="N348" s="6" t="s">
        <v>2074</v>
      </c>
      <c r="O348" s="6" t="s">
        <v>2075</v>
      </c>
      <c r="P348" s="6" t="s">
        <v>38</v>
      </c>
      <c r="Q348" s="6" t="s">
        <v>2076</v>
      </c>
      <c r="R348" s="6" t="s">
        <v>871</v>
      </c>
      <c r="S348" s="5" t="s">
        <v>3323</v>
      </c>
      <c r="T348" s="10"/>
      <c r="U348" s="6"/>
    </row>
    <row r="349" spans="1:21" x14ac:dyDescent="0.2">
      <c r="A349" s="8">
        <v>4.6900000000000004</v>
      </c>
      <c r="B349" s="5" t="s">
        <v>1787</v>
      </c>
      <c r="C349" s="5" t="s">
        <v>101</v>
      </c>
      <c r="D349" s="6" t="s">
        <v>2077</v>
      </c>
      <c r="E349" s="6" t="s">
        <v>2078</v>
      </c>
      <c r="F349" s="6" t="s">
        <v>33</v>
      </c>
      <c r="G349" s="5" t="s">
        <v>104</v>
      </c>
      <c r="H349" s="5"/>
      <c r="I349" s="5"/>
      <c r="J349" s="54">
        <v>317500</v>
      </c>
      <c r="K349" s="6" t="s">
        <v>2079</v>
      </c>
      <c r="L349" s="6" t="s">
        <v>59</v>
      </c>
      <c r="M349" s="6" t="b">
        <v>0</v>
      </c>
      <c r="N349" s="6" t="s">
        <v>210</v>
      </c>
      <c r="O349" s="6" t="s">
        <v>2078</v>
      </c>
      <c r="P349" s="6" t="s">
        <v>92</v>
      </c>
      <c r="Q349" s="6" t="s">
        <v>2080</v>
      </c>
      <c r="R349" s="6" t="s">
        <v>110</v>
      </c>
      <c r="S349" s="5" t="s">
        <v>3323</v>
      </c>
      <c r="T349" s="10"/>
      <c r="U349" s="6"/>
    </row>
    <row r="350" spans="1:21" x14ac:dyDescent="0.2">
      <c r="A350" s="8">
        <v>4.6900000000000004</v>
      </c>
      <c r="B350" s="5" t="s">
        <v>1787</v>
      </c>
      <c r="C350" s="5" t="s">
        <v>101</v>
      </c>
      <c r="D350" s="6" t="s">
        <v>2087</v>
      </c>
      <c r="E350" s="6" t="s">
        <v>2088</v>
      </c>
      <c r="F350" s="6" t="s">
        <v>427</v>
      </c>
      <c r="G350" s="5" t="s">
        <v>104</v>
      </c>
      <c r="H350" s="5"/>
      <c r="I350" s="5"/>
      <c r="J350" s="54">
        <v>0</v>
      </c>
      <c r="K350" s="6" t="s">
        <v>291</v>
      </c>
      <c r="L350" s="6" t="s">
        <v>59</v>
      </c>
      <c r="M350" s="6" t="b">
        <v>0</v>
      </c>
      <c r="N350" s="6" t="s">
        <v>2089</v>
      </c>
      <c r="O350" s="6" t="s">
        <v>2090</v>
      </c>
      <c r="P350" s="6" t="s">
        <v>28</v>
      </c>
      <c r="Q350" s="6" t="s">
        <v>2091</v>
      </c>
      <c r="R350" s="6" t="s">
        <v>110</v>
      </c>
      <c r="S350" s="5" t="s">
        <v>3323</v>
      </c>
      <c r="T350" s="10"/>
      <c r="U350" s="6"/>
    </row>
    <row r="351" spans="1:21" hidden="1" x14ac:dyDescent="0.2">
      <c r="A351">
        <v>4.6500000000000004</v>
      </c>
      <c r="B351" t="s">
        <v>514</v>
      </c>
      <c r="C351" t="s">
        <v>101</v>
      </c>
      <c r="D351" t="s">
        <v>2113</v>
      </c>
      <c r="E351" t="s">
        <v>502</v>
      </c>
      <c r="F351" t="s">
        <v>33</v>
      </c>
      <c r="G351" t="s">
        <v>104</v>
      </c>
      <c r="J351">
        <v>0</v>
      </c>
      <c r="K351" t="s">
        <v>135</v>
      </c>
      <c r="L351" t="s">
        <v>2114</v>
      </c>
      <c r="M351" t="b">
        <v>0</v>
      </c>
      <c r="N351" t="s">
        <v>2115</v>
      </c>
      <c r="O351" t="s">
        <v>2116</v>
      </c>
      <c r="P351" t="s">
        <v>2117</v>
      </c>
      <c r="Q351" t="s">
        <v>2118</v>
      </c>
      <c r="R351" t="s">
        <v>110</v>
      </c>
      <c r="S351" t="s">
        <v>3323</v>
      </c>
      <c r="T351" s="2"/>
    </row>
    <row r="352" spans="1:21" x14ac:dyDescent="0.2">
      <c r="A352" s="8">
        <v>4.6900000000000004</v>
      </c>
      <c r="B352" s="5" t="s">
        <v>1787</v>
      </c>
      <c r="C352" s="5" t="s">
        <v>863</v>
      </c>
      <c r="D352" s="6" t="s">
        <v>2092</v>
      </c>
      <c r="E352" s="6" t="s">
        <v>2093</v>
      </c>
      <c r="F352" s="6" t="s">
        <v>427</v>
      </c>
      <c r="G352" s="5" t="s">
        <v>23</v>
      </c>
      <c r="H352" s="5"/>
      <c r="I352" s="5"/>
      <c r="J352" s="54">
        <v>0</v>
      </c>
      <c r="K352" s="6" t="s">
        <v>2094</v>
      </c>
      <c r="L352" s="6" t="s">
        <v>2095</v>
      </c>
      <c r="M352" s="6" t="b">
        <v>0</v>
      </c>
      <c r="N352" s="6" t="s">
        <v>2096</v>
      </c>
      <c r="O352" s="6" t="s">
        <v>2097</v>
      </c>
      <c r="P352" s="6" t="s">
        <v>28</v>
      </c>
      <c r="Q352" s="6" t="s">
        <v>2098</v>
      </c>
      <c r="R352" s="6" t="s">
        <v>871</v>
      </c>
      <c r="S352" s="5" t="s">
        <v>3323</v>
      </c>
      <c r="T352" s="10"/>
      <c r="U352" s="6"/>
    </row>
    <row r="353" spans="1:21" x14ac:dyDescent="0.2">
      <c r="A353" s="8">
        <v>4.67</v>
      </c>
      <c r="B353" s="5" t="s">
        <v>1787</v>
      </c>
      <c r="C353" s="5" t="s">
        <v>101</v>
      </c>
      <c r="D353" s="6" t="s">
        <v>2099</v>
      </c>
      <c r="E353" s="6" t="s">
        <v>699</v>
      </c>
      <c r="F353" s="6" t="s">
        <v>42</v>
      </c>
      <c r="G353" s="5" t="s">
        <v>104</v>
      </c>
      <c r="H353" s="5"/>
      <c r="I353" s="5"/>
      <c r="J353" s="54">
        <v>0</v>
      </c>
      <c r="K353" s="6" t="s">
        <v>1174</v>
      </c>
      <c r="L353" s="6" t="s">
        <v>1174</v>
      </c>
      <c r="M353" s="6" t="b">
        <v>0</v>
      </c>
      <c r="N353" s="6" t="s">
        <v>1174</v>
      </c>
      <c r="O353" s="6" t="s">
        <v>2100</v>
      </c>
      <c r="P353" s="6" t="s">
        <v>28</v>
      </c>
      <c r="Q353" s="6" t="s">
        <v>2101</v>
      </c>
      <c r="R353" s="6" t="s">
        <v>110</v>
      </c>
      <c r="S353" s="5" t="s">
        <v>3323</v>
      </c>
      <c r="T353" s="10"/>
      <c r="U353" s="6"/>
    </row>
    <row r="354" spans="1:21" hidden="1" x14ac:dyDescent="0.2">
      <c r="A354">
        <v>4.6399999999999997</v>
      </c>
      <c r="B354" t="s">
        <v>514</v>
      </c>
      <c r="C354" t="s">
        <v>863</v>
      </c>
      <c r="D354" t="s">
        <v>2128</v>
      </c>
      <c r="E354" t="s">
        <v>2129</v>
      </c>
      <c r="F354" t="s">
        <v>427</v>
      </c>
      <c r="G354" t="s">
        <v>23</v>
      </c>
      <c r="J354">
        <v>0</v>
      </c>
      <c r="K354" t="s">
        <v>2130</v>
      </c>
      <c r="L354" t="s">
        <v>2131</v>
      </c>
      <c r="M354" t="b">
        <v>1</v>
      </c>
      <c r="N354" t="s">
        <v>2132</v>
      </c>
      <c r="O354" t="s">
        <v>2133</v>
      </c>
      <c r="Q354" t="s">
        <v>2134</v>
      </c>
      <c r="R354" t="s">
        <v>871</v>
      </c>
      <c r="S354" t="s">
        <v>3323</v>
      </c>
      <c r="T354" s="2"/>
    </row>
    <row r="355" spans="1:21" hidden="1" x14ac:dyDescent="0.2">
      <c r="A355">
        <v>4.6399999999999997</v>
      </c>
      <c r="B355" t="s">
        <v>514</v>
      </c>
      <c r="C355" t="s">
        <v>101</v>
      </c>
      <c r="D355" t="s">
        <v>2135</v>
      </c>
      <c r="E355" t="s">
        <v>1966</v>
      </c>
      <c r="F355" t="s">
        <v>120</v>
      </c>
      <c r="G355" t="s">
        <v>104</v>
      </c>
      <c r="J355">
        <v>40000</v>
      </c>
      <c r="K355" t="s">
        <v>2136</v>
      </c>
      <c r="L355" t="s">
        <v>2137</v>
      </c>
      <c r="M355" t="b">
        <v>0</v>
      </c>
      <c r="N355" t="s">
        <v>1545</v>
      </c>
      <c r="O355" t="s">
        <v>2138</v>
      </c>
      <c r="P355" t="s">
        <v>2139</v>
      </c>
      <c r="Q355" t="s">
        <v>2140</v>
      </c>
      <c r="R355" t="s">
        <v>110</v>
      </c>
      <c r="S355" t="s">
        <v>3323</v>
      </c>
      <c r="T355" s="2"/>
    </row>
    <row r="356" spans="1:21" x14ac:dyDescent="0.2">
      <c r="A356" s="8">
        <v>4.66</v>
      </c>
      <c r="B356" s="5" t="s">
        <v>1787</v>
      </c>
      <c r="C356" s="5" t="s">
        <v>101</v>
      </c>
      <c r="D356" s="6" t="s">
        <v>2102</v>
      </c>
      <c r="E356" s="6" t="s">
        <v>1650</v>
      </c>
      <c r="F356" s="6" t="s">
        <v>33</v>
      </c>
      <c r="G356" s="5" t="s">
        <v>104</v>
      </c>
      <c r="H356" s="5"/>
      <c r="I356" s="5"/>
      <c r="J356" s="54">
        <v>0</v>
      </c>
      <c r="K356" s="6" t="s">
        <v>2103</v>
      </c>
      <c r="L356" s="6" t="s">
        <v>2104</v>
      </c>
      <c r="M356" s="6" t="b">
        <v>0</v>
      </c>
      <c r="N356" s="6" t="s">
        <v>2105</v>
      </c>
      <c r="O356" s="6" t="s">
        <v>2106</v>
      </c>
      <c r="P356" s="6" t="s">
        <v>38</v>
      </c>
      <c r="Q356" s="6" t="s">
        <v>2107</v>
      </c>
      <c r="R356" s="6" t="s">
        <v>110</v>
      </c>
      <c r="S356" s="5" t="s">
        <v>3323</v>
      </c>
      <c r="T356" s="10"/>
      <c r="U356" s="6"/>
    </row>
    <row r="357" spans="1:21" x14ac:dyDescent="0.2">
      <c r="A357" s="8">
        <v>4.66</v>
      </c>
      <c r="B357" s="5" t="s">
        <v>1787</v>
      </c>
      <c r="C357" s="5" t="s">
        <v>101</v>
      </c>
      <c r="D357" s="6" t="s">
        <v>2108</v>
      </c>
      <c r="E357" s="6" t="s">
        <v>2109</v>
      </c>
      <c r="F357" s="6" t="s">
        <v>33</v>
      </c>
      <c r="G357" s="5" t="s">
        <v>104</v>
      </c>
      <c r="H357" s="5"/>
      <c r="I357" s="5"/>
      <c r="J357" s="54">
        <v>400000</v>
      </c>
      <c r="K357" s="6" t="s">
        <v>2110</v>
      </c>
      <c r="L357" s="6" t="s">
        <v>59</v>
      </c>
      <c r="M357" s="6" t="b">
        <v>0</v>
      </c>
      <c r="N357" s="6" t="s">
        <v>210</v>
      </c>
      <c r="O357" s="6" t="s">
        <v>2111</v>
      </c>
      <c r="P357" s="6" t="s">
        <v>92</v>
      </c>
      <c r="Q357" s="6" t="s">
        <v>2112</v>
      </c>
      <c r="R357" s="6" t="s">
        <v>110</v>
      </c>
      <c r="S357" s="5" t="s">
        <v>3323</v>
      </c>
      <c r="T357" s="10"/>
      <c r="U357" s="6"/>
    </row>
    <row r="358" spans="1:21" x14ac:dyDescent="0.2">
      <c r="A358" s="8">
        <v>4.6399999999999997</v>
      </c>
      <c r="B358" s="5" t="s">
        <v>1787</v>
      </c>
      <c r="C358" s="5" t="s">
        <v>101</v>
      </c>
      <c r="D358" s="6" t="s">
        <v>2119</v>
      </c>
      <c r="E358" s="6" t="s">
        <v>1388</v>
      </c>
      <c r="F358" s="6" t="s">
        <v>33</v>
      </c>
      <c r="G358" s="5" t="s">
        <v>104</v>
      </c>
      <c r="H358" s="5"/>
      <c r="I358" s="5"/>
      <c r="J358" s="54">
        <v>0</v>
      </c>
      <c r="K358" s="6" t="s">
        <v>1389</v>
      </c>
      <c r="L358" s="6" t="s">
        <v>525</v>
      </c>
      <c r="M358" s="6" t="b">
        <v>0</v>
      </c>
      <c r="N358" s="6" t="s">
        <v>2120</v>
      </c>
      <c r="O358" s="6" t="s">
        <v>2121</v>
      </c>
      <c r="P358" s="6" t="s">
        <v>1442</v>
      </c>
      <c r="Q358" s="6" t="s">
        <v>2122</v>
      </c>
      <c r="R358" s="6" t="s">
        <v>110</v>
      </c>
      <c r="S358" s="5" t="s">
        <v>3323</v>
      </c>
      <c r="T358" s="10"/>
      <c r="U358" s="6"/>
    </row>
    <row r="359" spans="1:21" x14ac:dyDescent="0.2">
      <c r="A359" s="8">
        <v>4.6399999999999997</v>
      </c>
      <c r="B359" s="5" t="s">
        <v>1787</v>
      </c>
      <c r="C359" s="5" t="s">
        <v>101</v>
      </c>
      <c r="D359" s="6" t="s">
        <v>2123</v>
      </c>
      <c r="E359" s="6" t="s">
        <v>2124</v>
      </c>
      <c r="F359" s="6" t="s">
        <v>33</v>
      </c>
      <c r="G359" s="5" t="s">
        <v>104</v>
      </c>
      <c r="H359" s="5"/>
      <c r="I359" s="5"/>
      <c r="J359" s="54">
        <v>0</v>
      </c>
      <c r="K359" s="6" t="s">
        <v>2125</v>
      </c>
      <c r="L359" s="6" t="s">
        <v>525</v>
      </c>
      <c r="M359" s="6" t="b">
        <v>0</v>
      </c>
      <c r="N359" s="6" t="s">
        <v>1440</v>
      </c>
      <c r="O359" s="6" t="s">
        <v>2126</v>
      </c>
      <c r="P359" s="6" t="s">
        <v>1442</v>
      </c>
      <c r="Q359" s="6" t="s">
        <v>2127</v>
      </c>
      <c r="R359" s="6" t="s">
        <v>110</v>
      </c>
      <c r="S359" s="5" t="s">
        <v>3323</v>
      </c>
      <c r="T359" s="10"/>
      <c r="U359" s="6"/>
    </row>
    <row r="360" spans="1:21" x14ac:dyDescent="0.2">
      <c r="A360" s="8">
        <v>4.6399999999999997</v>
      </c>
      <c r="B360" s="5" t="s">
        <v>1787</v>
      </c>
      <c r="C360" s="5" t="s">
        <v>101</v>
      </c>
      <c r="D360" s="6" t="s">
        <v>2141</v>
      </c>
      <c r="E360" s="6" t="s">
        <v>2142</v>
      </c>
      <c r="F360" s="6" t="s">
        <v>33</v>
      </c>
      <c r="G360" s="5" t="s">
        <v>104</v>
      </c>
      <c r="H360" s="5"/>
      <c r="I360" s="5"/>
      <c r="J360" s="54">
        <v>0</v>
      </c>
      <c r="K360" s="6" t="s">
        <v>2143</v>
      </c>
      <c r="L360" s="6" t="s">
        <v>59</v>
      </c>
      <c r="M360" s="6" t="b">
        <v>0</v>
      </c>
      <c r="N360" s="6" t="s">
        <v>28</v>
      </c>
      <c r="O360" s="6" t="s">
        <v>2144</v>
      </c>
      <c r="P360" s="6" t="s">
        <v>28</v>
      </c>
      <c r="Q360" s="6" t="s">
        <v>2145</v>
      </c>
      <c r="R360" s="6" t="s">
        <v>110</v>
      </c>
      <c r="S360" s="5" t="s">
        <v>3323</v>
      </c>
      <c r="T360" s="10"/>
      <c r="U360" s="6"/>
    </row>
    <row r="361" spans="1:21" x14ac:dyDescent="0.2">
      <c r="A361" s="8">
        <v>4.6399999999999997</v>
      </c>
      <c r="B361" s="5" t="s">
        <v>1787</v>
      </c>
      <c r="C361" s="5" t="s">
        <v>101</v>
      </c>
      <c r="D361" s="6" t="s">
        <v>2146</v>
      </c>
      <c r="E361" s="6" t="s">
        <v>2147</v>
      </c>
      <c r="F361" s="6" t="s">
        <v>33</v>
      </c>
      <c r="G361" s="5" t="s">
        <v>104</v>
      </c>
      <c r="H361" s="5"/>
      <c r="I361" s="5"/>
      <c r="J361" s="54">
        <v>0</v>
      </c>
      <c r="K361" s="6" t="s">
        <v>2148</v>
      </c>
      <c r="L361" s="6" t="s">
        <v>59</v>
      </c>
      <c r="M361" s="6" t="b">
        <v>0</v>
      </c>
      <c r="N361" s="6" t="s">
        <v>28</v>
      </c>
      <c r="O361" s="6" t="s">
        <v>2149</v>
      </c>
      <c r="P361" s="6" t="s">
        <v>28</v>
      </c>
      <c r="Q361" s="6" t="s">
        <v>2150</v>
      </c>
      <c r="R361" s="6" t="s">
        <v>110</v>
      </c>
      <c r="S361" s="5" t="s">
        <v>3323</v>
      </c>
      <c r="T361" s="10"/>
      <c r="U361" s="6"/>
    </row>
    <row r="362" spans="1:21" x14ac:dyDescent="0.2">
      <c r="A362" s="8">
        <v>4.63</v>
      </c>
      <c r="B362" s="5" t="s">
        <v>1787</v>
      </c>
      <c r="C362" s="5" t="s">
        <v>101</v>
      </c>
      <c r="D362" s="6" t="s">
        <v>2151</v>
      </c>
      <c r="E362" s="6" t="s">
        <v>103</v>
      </c>
      <c r="F362" s="6" t="s">
        <v>290</v>
      </c>
      <c r="G362" s="5" t="s">
        <v>104</v>
      </c>
      <c r="H362" s="5"/>
      <c r="I362" s="5"/>
      <c r="J362" s="54">
        <v>0</v>
      </c>
      <c r="K362" s="6" t="s">
        <v>291</v>
      </c>
      <c r="L362" s="6" t="s">
        <v>210</v>
      </c>
      <c r="M362" s="6" t="b">
        <v>0</v>
      </c>
      <c r="N362" s="6" t="s">
        <v>1174</v>
      </c>
      <c r="O362" s="6" t="s">
        <v>1594</v>
      </c>
      <c r="P362" s="6" t="s">
        <v>28</v>
      </c>
      <c r="Q362" s="6" t="s">
        <v>2152</v>
      </c>
      <c r="R362" s="6" t="s">
        <v>110</v>
      </c>
      <c r="S362" s="5" t="s">
        <v>3323</v>
      </c>
      <c r="T362" s="10"/>
      <c r="U362" s="6"/>
    </row>
    <row r="363" spans="1:21" x14ac:dyDescent="0.2">
      <c r="A363" s="8">
        <v>4.5999999999999996</v>
      </c>
      <c r="B363" s="5" t="s">
        <v>1787</v>
      </c>
      <c r="C363" s="5" t="s">
        <v>101</v>
      </c>
      <c r="D363" s="6" t="s">
        <v>2160</v>
      </c>
      <c r="E363" s="6" t="s">
        <v>2161</v>
      </c>
      <c r="F363" s="6" t="s">
        <v>810</v>
      </c>
      <c r="G363" s="5" t="s">
        <v>104</v>
      </c>
      <c r="H363" s="5"/>
      <c r="I363" s="5"/>
      <c r="J363" s="54">
        <v>0</v>
      </c>
      <c r="K363" s="6" t="s">
        <v>2162</v>
      </c>
      <c r="L363" s="6" t="s">
        <v>928</v>
      </c>
      <c r="M363" s="6" t="b">
        <v>0</v>
      </c>
      <c r="N363" s="6" t="s">
        <v>2163</v>
      </c>
      <c r="O363" s="6" t="s">
        <v>2164</v>
      </c>
      <c r="P363" s="6" t="s">
        <v>38</v>
      </c>
      <c r="Q363" s="6" t="s">
        <v>2165</v>
      </c>
      <c r="R363" s="6" t="s">
        <v>110</v>
      </c>
      <c r="S363" s="5" t="s">
        <v>3323</v>
      </c>
      <c r="T363" s="10"/>
      <c r="U363" s="6"/>
    </row>
    <row r="364" spans="1:21" x14ac:dyDescent="0.2">
      <c r="A364" s="8">
        <v>4.5999999999999996</v>
      </c>
      <c r="B364" s="5" t="s">
        <v>1787</v>
      </c>
      <c r="C364" s="5" t="s">
        <v>101</v>
      </c>
      <c r="D364" s="6" t="s">
        <v>2166</v>
      </c>
      <c r="E364" s="6" t="s">
        <v>2167</v>
      </c>
      <c r="F364" s="6" t="s">
        <v>120</v>
      </c>
      <c r="G364" s="5" t="s">
        <v>104</v>
      </c>
      <c r="H364" s="5"/>
      <c r="I364" s="5"/>
      <c r="J364" s="54">
        <v>0</v>
      </c>
      <c r="K364" s="6" t="s">
        <v>2168</v>
      </c>
      <c r="L364" s="6" t="s">
        <v>2169</v>
      </c>
      <c r="M364" s="6" t="b">
        <v>0</v>
      </c>
      <c r="N364" s="6" t="s">
        <v>2170</v>
      </c>
      <c r="O364" s="6" t="s">
        <v>2171</v>
      </c>
      <c r="P364" s="6" t="s">
        <v>38</v>
      </c>
      <c r="Q364" s="6" t="s">
        <v>2172</v>
      </c>
      <c r="R364" s="6" t="s">
        <v>110</v>
      </c>
      <c r="S364" s="5" t="s">
        <v>3323</v>
      </c>
      <c r="T364" s="10"/>
      <c r="U364" s="6"/>
    </row>
    <row r="365" spans="1:21" x14ac:dyDescent="0.2">
      <c r="A365" s="8">
        <v>4.5999999999999996</v>
      </c>
      <c r="B365" s="5" t="s">
        <v>1787</v>
      </c>
      <c r="C365" s="5" t="s">
        <v>101</v>
      </c>
      <c r="D365" s="6" t="s">
        <v>2173</v>
      </c>
      <c r="E365" s="6" t="s">
        <v>103</v>
      </c>
      <c r="F365" s="6" t="s">
        <v>22</v>
      </c>
      <c r="G365" s="5" t="s">
        <v>104</v>
      </c>
      <c r="H365" s="5"/>
      <c r="I365" s="5"/>
      <c r="J365" s="54">
        <v>0</v>
      </c>
      <c r="K365" s="6" t="s">
        <v>291</v>
      </c>
      <c r="L365" s="6" t="s">
        <v>59</v>
      </c>
      <c r="M365" s="6" t="b">
        <v>0</v>
      </c>
      <c r="N365" s="6" t="s">
        <v>2174</v>
      </c>
      <c r="O365" s="6" t="s">
        <v>243</v>
      </c>
      <c r="P365" s="6" t="s">
        <v>28</v>
      </c>
      <c r="Q365" s="6" t="s">
        <v>2175</v>
      </c>
      <c r="R365" s="6" t="s">
        <v>110</v>
      </c>
      <c r="S365" s="5" t="s">
        <v>3323</v>
      </c>
      <c r="T365" s="10"/>
      <c r="U365" s="6"/>
    </row>
    <row r="366" spans="1:21" hidden="1" x14ac:dyDescent="0.2">
      <c r="A366">
        <v>4.5999999999999996</v>
      </c>
      <c r="B366" t="s">
        <v>514</v>
      </c>
      <c r="C366" t="s">
        <v>863</v>
      </c>
      <c r="D366" t="s">
        <v>2190</v>
      </c>
      <c r="E366" t="s">
        <v>2191</v>
      </c>
      <c r="F366" t="s">
        <v>290</v>
      </c>
      <c r="G366" t="s">
        <v>23</v>
      </c>
      <c r="J366">
        <v>0</v>
      </c>
      <c r="K366" t="s">
        <v>2192</v>
      </c>
      <c r="L366" t="s">
        <v>2193</v>
      </c>
      <c r="M366" t="b">
        <v>1</v>
      </c>
      <c r="N366" t="s">
        <v>2194</v>
      </c>
      <c r="O366" t="s">
        <v>2195</v>
      </c>
      <c r="P366" t="s">
        <v>2196</v>
      </c>
      <c r="Q366" t="s">
        <v>2197</v>
      </c>
      <c r="R366" t="s">
        <v>871</v>
      </c>
      <c r="S366" t="s">
        <v>3323</v>
      </c>
      <c r="T366" s="2"/>
    </row>
    <row r="367" spans="1:21" x14ac:dyDescent="0.2">
      <c r="A367" s="8">
        <v>4.5999999999999996</v>
      </c>
      <c r="B367" s="5" t="s">
        <v>1787</v>
      </c>
      <c r="C367" s="5" t="s">
        <v>101</v>
      </c>
      <c r="D367" s="6" t="s">
        <v>2176</v>
      </c>
      <c r="E367" s="6" t="s">
        <v>103</v>
      </c>
      <c r="F367" s="6" t="s">
        <v>22</v>
      </c>
      <c r="G367" s="5" t="s">
        <v>104</v>
      </c>
      <c r="H367" s="5"/>
      <c r="I367" s="5"/>
      <c r="J367" s="54">
        <v>0</v>
      </c>
      <c r="K367" s="6" t="s">
        <v>2177</v>
      </c>
      <c r="L367" s="6" t="s">
        <v>59</v>
      </c>
      <c r="M367" s="6" t="b">
        <v>0</v>
      </c>
      <c r="N367" s="6" t="s">
        <v>1174</v>
      </c>
      <c r="O367" s="6" t="s">
        <v>274</v>
      </c>
      <c r="P367" s="6" t="s">
        <v>28</v>
      </c>
      <c r="Q367" s="6" t="s">
        <v>2178</v>
      </c>
      <c r="R367" s="6" t="s">
        <v>110</v>
      </c>
      <c r="S367" s="5" t="s">
        <v>3323</v>
      </c>
      <c r="T367" s="10"/>
      <c r="U367" s="6"/>
    </row>
    <row r="368" spans="1:21" hidden="1" x14ac:dyDescent="0.2">
      <c r="A368">
        <v>4.58</v>
      </c>
      <c r="B368" t="s">
        <v>514</v>
      </c>
      <c r="C368" t="s">
        <v>101</v>
      </c>
      <c r="D368" t="s">
        <v>2203</v>
      </c>
      <c r="E368" t="s">
        <v>502</v>
      </c>
      <c r="F368" t="s">
        <v>427</v>
      </c>
      <c r="G368" t="s">
        <v>104</v>
      </c>
      <c r="J368">
        <v>0</v>
      </c>
      <c r="K368" t="s">
        <v>2204</v>
      </c>
      <c r="L368" t="s">
        <v>525</v>
      </c>
      <c r="M368" t="b">
        <v>1</v>
      </c>
      <c r="N368" t="s">
        <v>2205</v>
      </c>
      <c r="O368" t="s">
        <v>2206</v>
      </c>
      <c r="Q368" t="s">
        <v>2207</v>
      </c>
      <c r="R368" t="s">
        <v>110</v>
      </c>
      <c r="S368" t="s">
        <v>3323</v>
      </c>
      <c r="T368" s="2"/>
    </row>
    <row r="369" spans="1:21" x14ac:dyDescent="0.2">
      <c r="A369" s="8">
        <v>4.5999999999999996</v>
      </c>
      <c r="B369" s="5" t="s">
        <v>1787</v>
      </c>
      <c r="C369" s="5" t="s">
        <v>101</v>
      </c>
      <c r="D369" s="6" t="s">
        <v>2179</v>
      </c>
      <c r="E369" s="6" t="s">
        <v>2180</v>
      </c>
      <c r="F369" s="6" t="s">
        <v>22</v>
      </c>
      <c r="G369" s="5" t="s">
        <v>104</v>
      </c>
      <c r="H369" s="5"/>
      <c r="I369" s="5"/>
      <c r="J369" s="54">
        <v>0</v>
      </c>
      <c r="K369" s="6" t="s">
        <v>2181</v>
      </c>
      <c r="L369" s="6" t="s">
        <v>2182</v>
      </c>
      <c r="M369" s="6" t="b">
        <v>0</v>
      </c>
      <c r="N369" s="6" t="s">
        <v>1174</v>
      </c>
      <c r="O369" s="6" t="s">
        <v>2183</v>
      </c>
      <c r="P369" s="6" t="s">
        <v>28</v>
      </c>
      <c r="Q369" s="6" t="s">
        <v>2184</v>
      </c>
      <c r="R369" s="6" t="s">
        <v>110</v>
      </c>
      <c r="S369" s="5" t="s">
        <v>3323</v>
      </c>
      <c r="T369" s="10"/>
      <c r="U369" s="6"/>
    </row>
    <row r="370" spans="1:21" hidden="1" x14ac:dyDescent="0.2">
      <c r="A370">
        <v>4.57</v>
      </c>
      <c r="B370" t="s">
        <v>514</v>
      </c>
      <c r="C370" t="s">
        <v>101</v>
      </c>
      <c r="D370" t="s">
        <v>2211</v>
      </c>
      <c r="E370" t="s">
        <v>2212</v>
      </c>
      <c r="F370" t="s">
        <v>427</v>
      </c>
      <c r="G370" t="s">
        <v>104</v>
      </c>
      <c r="J370">
        <v>200000</v>
      </c>
      <c r="K370" t="s">
        <v>105</v>
      </c>
      <c r="L370" t="s">
        <v>2213</v>
      </c>
      <c r="M370" t="b">
        <v>1</v>
      </c>
      <c r="N370" t="s">
        <v>2214</v>
      </c>
      <c r="O370" t="s">
        <v>2212</v>
      </c>
      <c r="P370" t="s">
        <v>2215</v>
      </c>
      <c r="Q370" t="s">
        <v>2216</v>
      </c>
      <c r="R370" t="s">
        <v>110</v>
      </c>
      <c r="S370" t="s">
        <v>3323</v>
      </c>
      <c r="T370" s="2"/>
    </row>
    <row r="371" spans="1:21" x14ac:dyDescent="0.2">
      <c r="A371" s="8">
        <v>4.5999999999999996</v>
      </c>
      <c r="B371" s="5" t="s">
        <v>1787</v>
      </c>
      <c r="C371" s="5" t="s">
        <v>101</v>
      </c>
      <c r="D371" s="6" t="s">
        <v>2185</v>
      </c>
      <c r="E371" s="6" t="s">
        <v>2186</v>
      </c>
      <c r="F371" s="6" t="s">
        <v>810</v>
      </c>
      <c r="G371" s="5" t="s">
        <v>104</v>
      </c>
      <c r="H371" s="5"/>
      <c r="I371" s="5"/>
      <c r="J371" s="54">
        <v>0</v>
      </c>
      <c r="K371" s="6" t="s">
        <v>2187</v>
      </c>
      <c r="L371" s="6" t="s">
        <v>59</v>
      </c>
      <c r="M371" s="6" t="b">
        <v>0</v>
      </c>
      <c r="N371" s="6" t="s">
        <v>2095</v>
      </c>
      <c r="O371" s="6" t="s">
        <v>2188</v>
      </c>
      <c r="P371" s="6" t="s">
        <v>28</v>
      </c>
      <c r="Q371" s="6" t="s">
        <v>2189</v>
      </c>
      <c r="R371" s="6" t="s">
        <v>110</v>
      </c>
      <c r="S371" s="5" t="s">
        <v>3323</v>
      </c>
      <c r="T371" s="10"/>
      <c r="U371" s="6"/>
    </row>
    <row r="372" spans="1:21" x14ac:dyDescent="0.2">
      <c r="A372" s="8">
        <v>4.59</v>
      </c>
      <c r="B372" s="5" t="s">
        <v>1787</v>
      </c>
      <c r="C372" s="5" t="s">
        <v>101</v>
      </c>
      <c r="D372" s="6" t="s">
        <v>2198</v>
      </c>
      <c r="E372" s="6" t="s">
        <v>1877</v>
      </c>
      <c r="F372" s="6" t="s">
        <v>427</v>
      </c>
      <c r="G372" s="5" t="s">
        <v>104</v>
      </c>
      <c r="H372" s="5"/>
      <c r="I372" s="5"/>
      <c r="J372" s="54">
        <v>54500</v>
      </c>
      <c r="K372" s="6" t="s">
        <v>817</v>
      </c>
      <c r="L372" s="6" t="s">
        <v>2199</v>
      </c>
      <c r="M372" s="6" t="b">
        <v>0</v>
      </c>
      <c r="N372" s="6" t="s">
        <v>2200</v>
      </c>
      <c r="O372" s="6" t="s">
        <v>2201</v>
      </c>
      <c r="P372" s="6"/>
      <c r="Q372" s="6" t="s">
        <v>2202</v>
      </c>
      <c r="R372" s="6" t="s">
        <v>110</v>
      </c>
      <c r="S372" s="5" t="s">
        <v>3323</v>
      </c>
      <c r="T372" s="10"/>
      <c r="U372" s="6"/>
    </row>
    <row r="373" spans="1:21" x14ac:dyDescent="0.2">
      <c r="A373" s="8">
        <v>4.58</v>
      </c>
      <c r="B373" s="5" t="s">
        <v>1787</v>
      </c>
      <c r="C373" s="5" t="s">
        <v>101</v>
      </c>
      <c r="D373" s="6" t="s">
        <v>2208</v>
      </c>
      <c r="E373" s="6" t="s">
        <v>103</v>
      </c>
      <c r="F373" s="6" t="s">
        <v>290</v>
      </c>
      <c r="G373" s="5" t="s">
        <v>104</v>
      </c>
      <c r="H373" s="5"/>
      <c r="I373" s="5"/>
      <c r="J373" s="54">
        <v>0</v>
      </c>
      <c r="K373" s="6" t="s">
        <v>291</v>
      </c>
      <c r="L373" s="6" t="s">
        <v>210</v>
      </c>
      <c r="M373" s="6" t="b">
        <v>0</v>
      </c>
      <c r="N373" s="6" t="s">
        <v>2209</v>
      </c>
      <c r="O373" s="6" t="s">
        <v>1594</v>
      </c>
      <c r="P373" s="6" t="s">
        <v>28</v>
      </c>
      <c r="Q373" s="6" t="s">
        <v>2210</v>
      </c>
      <c r="R373" s="6" t="s">
        <v>110</v>
      </c>
      <c r="S373" s="5" t="s">
        <v>3323</v>
      </c>
      <c r="T373" s="10"/>
      <c r="U373" s="6"/>
    </row>
    <row r="374" spans="1:21" hidden="1" x14ac:dyDescent="0.2">
      <c r="A374">
        <v>4.55</v>
      </c>
      <c r="B374" t="s">
        <v>514</v>
      </c>
      <c r="C374" t="s">
        <v>863</v>
      </c>
      <c r="D374" t="s">
        <v>2232</v>
      </c>
      <c r="E374" t="s">
        <v>2212</v>
      </c>
      <c r="F374" t="s">
        <v>427</v>
      </c>
      <c r="G374" t="s">
        <v>23</v>
      </c>
      <c r="J374">
        <v>0</v>
      </c>
      <c r="K374" t="s">
        <v>291</v>
      </c>
      <c r="L374" t="s">
        <v>2233</v>
      </c>
      <c r="M374" t="b">
        <v>0</v>
      </c>
      <c r="N374" t="s">
        <v>2234</v>
      </c>
      <c r="O374" t="s">
        <v>2212</v>
      </c>
      <c r="P374" t="s">
        <v>2235</v>
      </c>
      <c r="Q374" t="s">
        <v>2236</v>
      </c>
      <c r="R374" t="s">
        <v>871</v>
      </c>
      <c r="S374" t="s">
        <v>3323</v>
      </c>
      <c r="T374" s="2"/>
    </row>
    <row r="375" spans="1:21" hidden="1" x14ac:dyDescent="0.2">
      <c r="A375">
        <v>4.51</v>
      </c>
      <c r="B375" t="s">
        <v>514</v>
      </c>
      <c r="C375" t="s">
        <v>863</v>
      </c>
      <c r="D375" t="s">
        <v>2237</v>
      </c>
      <c r="E375" t="s">
        <v>1306</v>
      </c>
      <c r="F375" t="s">
        <v>42</v>
      </c>
      <c r="G375" t="s">
        <v>23</v>
      </c>
      <c r="J375">
        <v>0</v>
      </c>
      <c r="K375" t="s">
        <v>2238</v>
      </c>
      <c r="L375" t="s">
        <v>2239</v>
      </c>
      <c r="M375" t="b">
        <v>1</v>
      </c>
      <c r="N375" t="s">
        <v>2240</v>
      </c>
      <c r="O375" t="s">
        <v>2241</v>
      </c>
      <c r="P375" t="s">
        <v>2242</v>
      </c>
      <c r="Q375" t="s">
        <v>2243</v>
      </c>
      <c r="R375" t="s">
        <v>871</v>
      </c>
      <c r="S375" t="s">
        <v>3323</v>
      </c>
      <c r="T375" s="2"/>
    </row>
    <row r="376" spans="1:21" x14ac:dyDescent="0.2">
      <c r="A376" s="8">
        <v>4.57</v>
      </c>
      <c r="B376" s="5" t="s">
        <v>1787</v>
      </c>
      <c r="C376" s="5" t="s">
        <v>101</v>
      </c>
      <c r="D376" s="6" t="s">
        <v>2217</v>
      </c>
      <c r="E376" s="6" t="s">
        <v>2218</v>
      </c>
      <c r="F376" s="6" t="s">
        <v>33</v>
      </c>
      <c r="G376" s="5" t="s">
        <v>104</v>
      </c>
      <c r="H376" s="5"/>
      <c r="I376" s="5"/>
      <c r="J376" s="54">
        <v>0</v>
      </c>
      <c r="K376" s="6" t="s">
        <v>2219</v>
      </c>
      <c r="L376" s="6" t="s">
        <v>59</v>
      </c>
      <c r="M376" s="6" t="b">
        <v>0</v>
      </c>
      <c r="N376" s="6" t="s">
        <v>210</v>
      </c>
      <c r="O376" s="6" t="s">
        <v>2220</v>
      </c>
      <c r="P376" s="6" t="s">
        <v>92</v>
      </c>
      <c r="Q376" s="6" t="s">
        <v>2221</v>
      </c>
      <c r="R376" s="6" t="s">
        <v>110</v>
      </c>
      <c r="S376" s="5" t="s">
        <v>3323</v>
      </c>
      <c r="T376" s="10"/>
      <c r="U376" s="6"/>
    </row>
    <row r="377" spans="1:21" x14ac:dyDescent="0.2">
      <c r="A377" s="8">
        <v>4.5599999999999996</v>
      </c>
      <c r="B377" s="5" t="s">
        <v>1787</v>
      </c>
      <c r="C377" t="s">
        <v>3358</v>
      </c>
      <c r="D377" s="6" t="s">
        <v>2222</v>
      </c>
      <c r="E377" s="6" t="s">
        <v>2223</v>
      </c>
      <c r="F377" s="6" t="s">
        <v>33</v>
      </c>
      <c r="G377" t="s">
        <v>3359</v>
      </c>
      <c r="H377" s="5"/>
      <c r="I377" s="5"/>
      <c r="J377" s="54">
        <v>0</v>
      </c>
      <c r="K377" s="6" t="s">
        <v>2224</v>
      </c>
      <c r="L377" s="6" t="s">
        <v>2225</v>
      </c>
      <c r="M377" s="6" t="b">
        <v>0</v>
      </c>
      <c r="N377" s="6" t="s">
        <v>2226</v>
      </c>
      <c r="O377" s="6" t="s">
        <v>2227</v>
      </c>
      <c r="P377" s="6" t="s">
        <v>38</v>
      </c>
      <c r="Q377" s="6" t="s">
        <v>2228</v>
      </c>
      <c r="R377" s="6" t="s">
        <v>110</v>
      </c>
      <c r="S377" s="5" t="s">
        <v>3323</v>
      </c>
      <c r="T377" s="10"/>
      <c r="U377" t="s">
        <v>3360</v>
      </c>
    </row>
    <row r="378" spans="1:21" x14ac:dyDescent="0.2">
      <c r="A378" s="8">
        <v>4.5599999999999996</v>
      </c>
      <c r="B378" s="5" t="s">
        <v>1787</v>
      </c>
      <c r="C378" s="5" t="s">
        <v>101</v>
      </c>
      <c r="D378" s="6" t="s">
        <v>2229</v>
      </c>
      <c r="E378" s="6" t="s">
        <v>2230</v>
      </c>
      <c r="F378" s="6" t="s">
        <v>33</v>
      </c>
      <c r="G378" s="5" t="s">
        <v>104</v>
      </c>
      <c r="H378" s="5"/>
      <c r="I378" s="5"/>
      <c r="J378" s="54">
        <v>125000</v>
      </c>
      <c r="K378" s="6" t="s">
        <v>2079</v>
      </c>
      <c r="L378" s="6" t="s">
        <v>59</v>
      </c>
      <c r="M378" s="6" t="b">
        <v>0</v>
      </c>
      <c r="N378" s="6" t="s">
        <v>210</v>
      </c>
      <c r="O378" s="6" t="s">
        <v>2230</v>
      </c>
      <c r="P378" s="6" t="s">
        <v>92</v>
      </c>
      <c r="Q378" s="6" t="s">
        <v>2231</v>
      </c>
      <c r="R378" s="6" t="s">
        <v>110</v>
      </c>
      <c r="S378" s="5" t="s">
        <v>3323</v>
      </c>
      <c r="T378" s="10"/>
      <c r="U378" s="6"/>
    </row>
    <row r="379" spans="1:21" x14ac:dyDescent="0.2">
      <c r="A379" s="8">
        <v>4.5</v>
      </c>
      <c r="B379" s="5" t="s">
        <v>1787</v>
      </c>
      <c r="C379" s="5" t="s">
        <v>101</v>
      </c>
      <c r="D379" s="6" t="s">
        <v>2244</v>
      </c>
      <c r="E379" s="6" t="s">
        <v>2245</v>
      </c>
      <c r="F379" s="6" t="s">
        <v>33</v>
      </c>
      <c r="G379" s="5" t="s">
        <v>104</v>
      </c>
      <c r="H379" s="5"/>
      <c r="I379" s="5"/>
      <c r="J379" s="54">
        <v>0</v>
      </c>
      <c r="K379" s="6" t="s">
        <v>435</v>
      </c>
      <c r="L379" s="6" t="s">
        <v>2246</v>
      </c>
      <c r="M379" s="6" t="b">
        <v>0</v>
      </c>
      <c r="N379" s="6" t="s">
        <v>28</v>
      </c>
      <c r="O379" s="6" t="s">
        <v>2247</v>
      </c>
      <c r="P379" s="6" t="s">
        <v>28</v>
      </c>
      <c r="Q379" s="6" t="s">
        <v>2248</v>
      </c>
      <c r="R379" s="6" t="s">
        <v>110</v>
      </c>
      <c r="S379" s="5" t="s">
        <v>3323</v>
      </c>
      <c r="T379" s="10"/>
      <c r="U379" s="6"/>
    </row>
    <row r="380" spans="1:21" x14ac:dyDescent="0.2">
      <c r="A380" s="8">
        <v>4.46</v>
      </c>
      <c r="B380" s="5" t="s">
        <v>1787</v>
      </c>
      <c r="C380" s="5" t="s">
        <v>101</v>
      </c>
      <c r="D380" s="6" t="s">
        <v>2249</v>
      </c>
      <c r="E380" s="6" t="s">
        <v>2250</v>
      </c>
      <c r="F380" s="6" t="s">
        <v>810</v>
      </c>
      <c r="G380" s="5" t="s">
        <v>104</v>
      </c>
      <c r="H380" s="5"/>
      <c r="I380" s="5"/>
      <c r="J380" s="54">
        <v>0</v>
      </c>
      <c r="K380" s="6" t="s">
        <v>1198</v>
      </c>
      <c r="L380" s="6" t="s">
        <v>2251</v>
      </c>
      <c r="M380" s="6" t="b">
        <v>0</v>
      </c>
      <c r="N380" s="6" t="s">
        <v>2252</v>
      </c>
      <c r="O380" s="6" t="s">
        <v>2253</v>
      </c>
      <c r="P380" s="6" t="s">
        <v>38</v>
      </c>
      <c r="Q380" s="6" t="s">
        <v>2035</v>
      </c>
      <c r="R380" s="6" t="s">
        <v>110</v>
      </c>
      <c r="S380" s="5" t="s">
        <v>3323</v>
      </c>
      <c r="T380" s="10"/>
      <c r="U380" s="6"/>
    </row>
    <row r="381" spans="1:21" x14ac:dyDescent="0.2">
      <c r="A381" s="8">
        <v>4.46</v>
      </c>
      <c r="B381" s="5" t="s">
        <v>1787</v>
      </c>
      <c r="C381" s="5" t="s">
        <v>101</v>
      </c>
      <c r="D381" s="6" t="s">
        <v>2254</v>
      </c>
      <c r="E381" s="6" t="s">
        <v>2255</v>
      </c>
      <c r="F381" s="6" t="s">
        <v>810</v>
      </c>
      <c r="G381" s="5" t="s">
        <v>104</v>
      </c>
      <c r="H381" s="5"/>
      <c r="I381" s="5"/>
      <c r="J381" s="54">
        <v>0</v>
      </c>
      <c r="K381" s="6" t="s">
        <v>1124</v>
      </c>
      <c r="L381" s="6" t="s">
        <v>1124</v>
      </c>
      <c r="M381" s="6" t="b">
        <v>0</v>
      </c>
      <c r="N381" s="6" t="s">
        <v>2256</v>
      </c>
      <c r="O381" s="6" t="s">
        <v>1124</v>
      </c>
      <c r="P381" s="6"/>
      <c r="Q381" s="6" t="s">
        <v>2055</v>
      </c>
      <c r="R381" s="6" t="s">
        <v>110</v>
      </c>
      <c r="S381" s="5" t="s">
        <v>3323</v>
      </c>
      <c r="T381" s="10"/>
      <c r="U381" s="6"/>
    </row>
    <row r="382" spans="1:21" x14ac:dyDescent="0.2">
      <c r="A382" s="8">
        <v>4.46</v>
      </c>
      <c r="B382" s="5" t="s">
        <v>1787</v>
      </c>
      <c r="C382" s="5" t="s">
        <v>101</v>
      </c>
      <c r="D382" s="6" t="s">
        <v>2257</v>
      </c>
      <c r="E382" s="6" t="s">
        <v>103</v>
      </c>
      <c r="F382" s="6" t="s">
        <v>290</v>
      </c>
      <c r="G382" s="5" t="s">
        <v>104</v>
      </c>
      <c r="H382" s="5"/>
      <c r="I382" s="5"/>
      <c r="J382" s="54">
        <v>0</v>
      </c>
      <c r="K382" s="6" t="s">
        <v>210</v>
      </c>
      <c r="L382" s="6" t="s">
        <v>210</v>
      </c>
      <c r="M382" s="6" t="b">
        <v>0</v>
      </c>
      <c r="N382" s="6" t="s">
        <v>2258</v>
      </c>
      <c r="O382" s="6" t="s">
        <v>1594</v>
      </c>
      <c r="P382" s="6" t="s">
        <v>28</v>
      </c>
      <c r="Q382" s="6" t="s">
        <v>2259</v>
      </c>
      <c r="R382" s="6" t="s">
        <v>110</v>
      </c>
      <c r="S382" s="5" t="s">
        <v>3323</v>
      </c>
      <c r="T382" s="10"/>
      <c r="U382" s="6"/>
    </row>
    <row r="383" spans="1:21" hidden="1" x14ac:dyDescent="0.2">
      <c r="A383">
        <v>4.45</v>
      </c>
      <c r="B383" t="s">
        <v>514</v>
      </c>
      <c r="C383" t="s">
        <v>863</v>
      </c>
      <c r="D383" t="s">
        <v>2274</v>
      </c>
      <c r="E383" t="s">
        <v>699</v>
      </c>
      <c r="F383" t="s">
        <v>22</v>
      </c>
      <c r="G383" t="s">
        <v>23</v>
      </c>
      <c r="J383">
        <v>0</v>
      </c>
      <c r="K383" t="s">
        <v>2275</v>
      </c>
      <c r="L383" t="s">
        <v>136</v>
      </c>
      <c r="M383" t="b">
        <v>1</v>
      </c>
      <c r="N383" t="s">
        <v>2276</v>
      </c>
      <c r="O383" t="s">
        <v>2277</v>
      </c>
      <c r="P383" t="s">
        <v>2278</v>
      </c>
      <c r="Q383" t="s">
        <v>2279</v>
      </c>
      <c r="R383" t="s">
        <v>871</v>
      </c>
      <c r="S383" t="s">
        <v>3323</v>
      </c>
      <c r="T383" s="2"/>
    </row>
    <row r="384" spans="1:21" hidden="1" x14ac:dyDescent="0.2">
      <c r="A384">
        <v>4.45</v>
      </c>
      <c r="B384" t="s">
        <v>514</v>
      </c>
      <c r="C384" t="s">
        <v>863</v>
      </c>
      <c r="D384" t="s">
        <v>2280</v>
      </c>
      <c r="E384" t="s">
        <v>1263</v>
      </c>
      <c r="F384" t="s">
        <v>120</v>
      </c>
      <c r="G384" t="s">
        <v>23</v>
      </c>
      <c r="J384">
        <v>0</v>
      </c>
      <c r="K384" t="s">
        <v>2281</v>
      </c>
      <c r="L384" t="s">
        <v>2282</v>
      </c>
      <c r="M384" t="b">
        <v>0</v>
      </c>
      <c r="N384" t="s">
        <v>2283</v>
      </c>
      <c r="O384" t="s">
        <v>2284</v>
      </c>
      <c r="P384" t="s">
        <v>2285</v>
      </c>
      <c r="Q384" t="s">
        <v>2286</v>
      </c>
      <c r="R384" t="s">
        <v>871</v>
      </c>
      <c r="S384" t="s">
        <v>3323</v>
      </c>
      <c r="T384" s="2"/>
    </row>
    <row r="385" spans="1:21" x14ac:dyDescent="0.2">
      <c r="A385" s="8">
        <v>4.46</v>
      </c>
      <c r="B385" s="5" t="s">
        <v>1787</v>
      </c>
      <c r="C385" s="5" t="s">
        <v>101</v>
      </c>
      <c r="D385" s="6" t="s">
        <v>2260</v>
      </c>
      <c r="E385" s="6" t="s">
        <v>2261</v>
      </c>
      <c r="F385" s="6" t="s">
        <v>290</v>
      </c>
      <c r="G385" s="5" t="s">
        <v>104</v>
      </c>
      <c r="H385" s="5"/>
      <c r="I385" s="5"/>
      <c r="J385" s="54">
        <v>0</v>
      </c>
      <c r="K385" s="6" t="s">
        <v>291</v>
      </c>
      <c r="L385" s="6" t="s">
        <v>2262</v>
      </c>
      <c r="M385" s="6" t="b">
        <v>0</v>
      </c>
      <c r="N385" s="6" t="s">
        <v>2263</v>
      </c>
      <c r="O385" s="6" t="s">
        <v>2264</v>
      </c>
      <c r="P385" s="6" t="s">
        <v>28</v>
      </c>
      <c r="Q385" s="6" t="s">
        <v>2265</v>
      </c>
      <c r="R385" s="6" t="s">
        <v>110</v>
      </c>
      <c r="S385" s="5" t="s">
        <v>3323</v>
      </c>
      <c r="T385" s="10"/>
      <c r="U385" s="6"/>
    </row>
    <row r="386" spans="1:21" hidden="1" x14ac:dyDescent="0.2">
      <c r="A386">
        <v>4.4400000000000004</v>
      </c>
      <c r="B386" t="s">
        <v>514</v>
      </c>
      <c r="C386" t="s">
        <v>101</v>
      </c>
      <c r="D386" t="s">
        <v>2293</v>
      </c>
      <c r="E386" t="s">
        <v>103</v>
      </c>
      <c r="F386" t="s">
        <v>290</v>
      </c>
      <c r="G386" t="s">
        <v>104</v>
      </c>
      <c r="J386">
        <v>0</v>
      </c>
      <c r="K386" t="s">
        <v>291</v>
      </c>
      <c r="L386" t="s">
        <v>59</v>
      </c>
      <c r="M386" t="b">
        <v>0</v>
      </c>
      <c r="N386" t="s">
        <v>2294</v>
      </c>
      <c r="O386" t="s">
        <v>1594</v>
      </c>
      <c r="P386" t="s">
        <v>2295</v>
      </c>
      <c r="Q386" t="s">
        <v>2296</v>
      </c>
      <c r="R386" t="s">
        <v>110</v>
      </c>
      <c r="S386" t="s">
        <v>3323</v>
      </c>
      <c r="T386" s="2"/>
    </row>
    <row r="387" spans="1:21" x14ac:dyDescent="0.2">
      <c r="A387" s="8">
        <v>4.46</v>
      </c>
      <c r="B387" s="5" t="s">
        <v>1787</v>
      </c>
      <c r="C387" s="5" t="s">
        <v>101</v>
      </c>
      <c r="D387" s="6" t="s">
        <v>2266</v>
      </c>
      <c r="E387" s="6" t="s">
        <v>1084</v>
      </c>
      <c r="F387" s="6" t="s">
        <v>810</v>
      </c>
      <c r="G387" s="5" t="s">
        <v>104</v>
      </c>
      <c r="H387" s="5"/>
      <c r="I387" s="5"/>
      <c r="J387" s="54">
        <v>0</v>
      </c>
      <c r="K387" s="6" t="s">
        <v>2267</v>
      </c>
      <c r="L387" s="6" t="s">
        <v>2268</v>
      </c>
      <c r="M387" s="6" t="b">
        <v>0</v>
      </c>
      <c r="N387" s="6" t="s">
        <v>2269</v>
      </c>
      <c r="O387" s="6" t="s">
        <v>817</v>
      </c>
      <c r="P387" s="6" t="s">
        <v>28</v>
      </c>
      <c r="Q387" s="6" t="s">
        <v>2270</v>
      </c>
      <c r="R387" s="6" t="s">
        <v>110</v>
      </c>
      <c r="S387" s="5" t="s">
        <v>3323</v>
      </c>
      <c r="T387" s="10"/>
      <c r="U387" s="6"/>
    </row>
    <row r="388" spans="1:21" x14ac:dyDescent="0.2">
      <c r="A388" s="8">
        <v>4.46</v>
      </c>
      <c r="B388" s="5" t="s">
        <v>1787</v>
      </c>
      <c r="C388" s="5" t="s">
        <v>101</v>
      </c>
      <c r="D388" s="6" t="s">
        <v>2271</v>
      </c>
      <c r="E388" s="6" t="s">
        <v>1084</v>
      </c>
      <c r="F388" s="6" t="s">
        <v>810</v>
      </c>
      <c r="G388" s="5" t="s">
        <v>104</v>
      </c>
      <c r="H388" s="5"/>
      <c r="I388" s="5"/>
      <c r="J388" s="54">
        <v>0</v>
      </c>
      <c r="K388" s="6" t="s">
        <v>2267</v>
      </c>
      <c r="L388" s="6" t="s">
        <v>1545</v>
      </c>
      <c r="M388" s="6" t="b">
        <v>0</v>
      </c>
      <c r="N388" s="6" t="s">
        <v>2272</v>
      </c>
      <c r="O388" s="6" t="s">
        <v>817</v>
      </c>
      <c r="P388" s="6" t="s">
        <v>28</v>
      </c>
      <c r="Q388" s="6" t="s">
        <v>2273</v>
      </c>
      <c r="R388" s="6" t="s">
        <v>110</v>
      </c>
      <c r="S388" s="5" t="s">
        <v>3323</v>
      </c>
      <c r="T388" s="10"/>
      <c r="U388" s="6"/>
    </row>
    <row r="389" spans="1:21" x14ac:dyDescent="0.2">
      <c r="A389" s="8">
        <v>4.4400000000000004</v>
      </c>
      <c r="B389" s="5" t="s">
        <v>1787</v>
      </c>
      <c r="C389" s="5" t="s">
        <v>101</v>
      </c>
      <c r="D389" s="6" t="s">
        <v>2287</v>
      </c>
      <c r="E389" s="6" t="s">
        <v>2288</v>
      </c>
      <c r="F389" s="6" t="s">
        <v>33</v>
      </c>
      <c r="G389" s="5" t="s">
        <v>104</v>
      </c>
      <c r="H389" s="5"/>
      <c r="I389" s="5"/>
      <c r="J389" s="54">
        <v>0</v>
      </c>
      <c r="K389" s="6" t="s">
        <v>2289</v>
      </c>
      <c r="L389" s="6" t="s">
        <v>1439</v>
      </c>
      <c r="M389" s="6" t="b">
        <v>0</v>
      </c>
      <c r="N389" s="6" t="s">
        <v>2290</v>
      </c>
      <c r="O389" s="6" t="s">
        <v>2291</v>
      </c>
      <c r="P389" s="6"/>
      <c r="Q389" s="6" t="s">
        <v>2292</v>
      </c>
      <c r="R389" s="6" t="s">
        <v>110</v>
      </c>
      <c r="S389" s="5" t="s">
        <v>3323</v>
      </c>
      <c r="T389" s="10"/>
      <c r="U389" s="6"/>
    </row>
    <row r="390" spans="1:21" hidden="1" x14ac:dyDescent="0.2">
      <c r="A390">
        <v>4.41</v>
      </c>
      <c r="B390" t="s">
        <v>514</v>
      </c>
      <c r="C390" t="s">
        <v>863</v>
      </c>
      <c r="D390" t="s">
        <v>2313</v>
      </c>
      <c r="E390" t="s">
        <v>2009</v>
      </c>
      <c r="F390" t="s">
        <v>290</v>
      </c>
      <c r="G390" t="s">
        <v>23</v>
      </c>
      <c r="J390">
        <v>0</v>
      </c>
      <c r="K390" t="s">
        <v>2314</v>
      </c>
      <c r="L390" t="s">
        <v>1810</v>
      </c>
      <c r="M390" t="b">
        <v>1</v>
      </c>
      <c r="N390" t="s">
        <v>2315</v>
      </c>
      <c r="O390" t="s">
        <v>2316</v>
      </c>
      <c r="P390" t="s">
        <v>2317</v>
      </c>
      <c r="Q390" t="s">
        <v>2318</v>
      </c>
      <c r="R390" t="s">
        <v>871</v>
      </c>
      <c r="S390" t="s">
        <v>3323</v>
      </c>
      <c r="T390" s="2"/>
    </row>
    <row r="391" spans="1:21" hidden="1" x14ac:dyDescent="0.2">
      <c r="A391">
        <v>4.41</v>
      </c>
      <c r="B391" t="s">
        <v>514</v>
      </c>
      <c r="C391" t="s">
        <v>101</v>
      </c>
      <c r="D391" t="s">
        <v>2319</v>
      </c>
      <c r="E391" t="s">
        <v>2320</v>
      </c>
      <c r="F391" t="s">
        <v>33</v>
      </c>
      <c r="G391" t="s">
        <v>104</v>
      </c>
      <c r="J391">
        <v>0</v>
      </c>
      <c r="K391" t="s">
        <v>435</v>
      </c>
      <c r="L391" t="s">
        <v>59</v>
      </c>
      <c r="M391" t="b">
        <v>1</v>
      </c>
      <c r="N391" t="s">
        <v>28</v>
      </c>
      <c r="O391" t="s">
        <v>2321</v>
      </c>
      <c r="P391" t="s">
        <v>28</v>
      </c>
      <c r="Q391" t="s">
        <v>2322</v>
      </c>
      <c r="R391" t="s">
        <v>110</v>
      </c>
      <c r="S391" t="s">
        <v>3323</v>
      </c>
      <c r="T391" s="2"/>
    </row>
    <row r="392" spans="1:21" x14ac:dyDescent="0.2">
      <c r="A392" s="8">
        <v>4.43</v>
      </c>
      <c r="B392" s="5" t="s">
        <v>1787</v>
      </c>
      <c r="C392" s="5" t="s">
        <v>101</v>
      </c>
      <c r="D392" s="6" t="s">
        <v>2297</v>
      </c>
      <c r="E392" s="6" t="s">
        <v>2298</v>
      </c>
      <c r="F392" s="6" t="s">
        <v>42</v>
      </c>
      <c r="G392" s="5" t="s">
        <v>104</v>
      </c>
      <c r="H392" s="5"/>
      <c r="I392" s="5"/>
      <c r="J392" s="54">
        <v>0</v>
      </c>
      <c r="K392" s="6" t="s">
        <v>2299</v>
      </c>
      <c r="L392" s="6" t="s">
        <v>2300</v>
      </c>
      <c r="M392" s="6" t="b">
        <v>0</v>
      </c>
      <c r="N392" s="6" t="s">
        <v>2301</v>
      </c>
      <c r="O392" s="6" t="s">
        <v>2302</v>
      </c>
      <c r="P392" s="6" t="s">
        <v>28</v>
      </c>
      <c r="Q392" s="6" t="s">
        <v>1188</v>
      </c>
      <c r="R392" s="6" t="s">
        <v>110</v>
      </c>
      <c r="S392" s="5" t="s">
        <v>3323</v>
      </c>
      <c r="T392" s="10"/>
      <c r="U392" s="6"/>
    </row>
    <row r="393" spans="1:21" x14ac:dyDescent="0.2">
      <c r="A393" s="8">
        <v>4.43</v>
      </c>
      <c r="B393" s="5" t="s">
        <v>1787</v>
      </c>
      <c r="C393" s="5" t="s">
        <v>101</v>
      </c>
      <c r="D393" s="6" t="s">
        <v>2303</v>
      </c>
      <c r="E393" s="6" t="s">
        <v>2304</v>
      </c>
      <c r="F393" s="6" t="s">
        <v>810</v>
      </c>
      <c r="G393" s="5" t="s">
        <v>104</v>
      </c>
      <c r="H393" s="5"/>
      <c r="I393" s="5"/>
      <c r="J393" s="54">
        <v>0</v>
      </c>
      <c r="K393" s="6" t="s">
        <v>2305</v>
      </c>
      <c r="L393" s="6" t="s">
        <v>2306</v>
      </c>
      <c r="M393" s="6" t="b">
        <v>0</v>
      </c>
      <c r="N393" s="6" t="s">
        <v>2307</v>
      </c>
      <c r="O393" s="6" t="s">
        <v>2308</v>
      </c>
      <c r="P393" s="6" t="s">
        <v>28</v>
      </c>
      <c r="Q393" s="6" t="s">
        <v>2309</v>
      </c>
      <c r="R393" s="6" t="s">
        <v>110</v>
      </c>
      <c r="S393" s="5" t="s">
        <v>3323</v>
      </c>
      <c r="T393" s="10"/>
      <c r="U393" s="6"/>
    </row>
    <row r="394" spans="1:21" x14ac:dyDescent="0.2">
      <c r="A394" s="8">
        <v>4.43</v>
      </c>
      <c r="B394" s="5" t="s">
        <v>1787</v>
      </c>
      <c r="C394" s="5" t="s">
        <v>101</v>
      </c>
      <c r="D394" s="6" t="s">
        <v>2310</v>
      </c>
      <c r="E394" s="6" t="s">
        <v>1030</v>
      </c>
      <c r="F394" s="6" t="s">
        <v>33</v>
      </c>
      <c r="G394" s="5" t="s">
        <v>104</v>
      </c>
      <c r="H394" s="5"/>
      <c r="I394" s="5"/>
      <c r="J394" s="54">
        <v>0</v>
      </c>
      <c r="K394" s="6" t="s">
        <v>28</v>
      </c>
      <c r="L394" s="6" t="s">
        <v>59</v>
      </c>
      <c r="M394" s="6" t="b">
        <v>0</v>
      </c>
      <c r="N394" s="6" t="s">
        <v>28</v>
      </c>
      <c r="O394" s="6" t="s">
        <v>2311</v>
      </c>
      <c r="P394" s="6" t="s">
        <v>28</v>
      </c>
      <c r="Q394" s="6" t="s">
        <v>2312</v>
      </c>
      <c r="R394" s="6" t="s">
        <v>110</v>
      </c>
      <c r="S394" s="5" t="s">
        <v>3323</v>
      </c>
      <c r="T394" s="10"/>
      <c r="U394" s="6"/>
    </row>
    <row r="395" spans="1:21" x14ac:dyDescent="0.2">
      <c r="A395" s="8">
        <v>4.3899999999999997</v>
      </c>
      <c r="B395" s="5" t="s">
        <v>1787</v>
      </c>
      <c r="C395" s="5" t="s">
        <v>101</v>
      </c>
      <c r="D395" s="6" t="s">
        <v>2323</v>
      </c>
      <c r="E395" s="6" t="s">
        <v>1030</v>
      </c>
      <c r="F395" s="6" t="s">
        <v>33</v>
      </c>
      <c r="G395" s="5" t="s">
        <v>104</v>
      </c>
      <c r="H395" s="5"/>
      <c r="I395" s="5"/>
      <c r="J395" s="54">
        <v>0</v>
      </c>
      <c r="K395" s="6" t="s">
        <v>59</v>
      </c>
      <c r="L395" s="6" t="s">
        <v>59</v>
      </c>
      <c r="M395" s="6" t="b">
        <v>0</v>
      </c>
      <c r="N395" s="6" t="s">
        <v>28</v>
      </c>
      <c r="O395" s="6" t="s">
        <v>2324</v>
      </c>
      <c r="P395" s="6" t="s">
        <v>28</v>
      </c>
      <c r="Q395" s="6" t="s">
        <v>2325</v>
      </c>
      <c r="R395" s="6" t="s">
        <v>110</v>
      </c>
      <c r="S395" s="5" t="s">
        <v>3323</v>
      </c>
      <c r="T395" s="10"/>
      <c r="U395" s="6"/>
    </row>
    <row r="396" spans="1:21" x14ac:dyDescent="0.2">
      <c r="A396" s="8">
        <v>4.37</v>
      </c>
      <c r="B396" s="5" t="s">
        <v>1787</v>
      </c>
      <c r="C396" s="5" t="s">
        <v>101</v>
      </c>
      <c r="D396" s="6" t="s">
        <v>2326</v>
      </c>
      <c r="E396" s="6" t="s">
        <v>2327</v>
      </c>
      <c r="F396" s="6" t="s">
        <v>120</v>
      </c>
      <c r="G396" s="5" t="s">
        <v>104</v>
      </c>
      <c r="H396" s="5"/>
      <c r="I396" s="5"/>
      <c r="J396" s="54">
        <v>2725</v>
      </c>
      <c r="K396" s="6" t="s">
        <v>435</v>
      </c>
      <c r="L396" s="6" t="s">
        <v>59</v>
      </c>
      <c r="M396" s="6" t="b">
        <v>0</v>
      </c>
      <c r="N396" s="6" t="s">
        <v>210</v>
      </c>
      <c r="O396" s="6" t="s">
        <v>2327</v>
      </c>
      <c r="P396" s="6" t="s">
        <v>92</v>
      </c>
      <c r="Q396" s="6" t="s">
        <v>2328</v>
      </c>
      <c r="R396" s="6" t="s">
        <v>110</v>
      </c>
      <c r="S396" s="5" t="s">
        <v>3323</v>
      </c>
      <c r="T396" s="10"/>
      <c r="U396" s="6"/>
    </row>
    <row r="397" spans="1:21" x14ac:dyDescent="0.2">
      <c r="A397" s="8">
        <v>4.37</v>
      </c>
      <c r="B397" s="5" t="s">
        <v>1787</v>
      </c>
      <c r="C397" s="5" t="s">
        <v>101</v>
      </c>
      <c r="D397" s="6" t="s">
        <v>2329</v>
      </c>
      <c r="E397" s="6" t="s">
        <v>2327</v>
      </c>
      <c r="F397" s="6" t="s">
        <v>22</v>
      </c>
      <c r="G397" s="5" t="s">
        <v>104</v>
      </c>
      <c r="H397" s="5"/>
      <c r="I397" s="5"/>
      <c r="J397" s="54">
        <v>0</v>
      </c>
      <c r="K397" s="6" t="s">
        <v>2330</v>
      </c>
      <c r="L397" s="6" t="s">
        <v>2331</v>
      </c>
      <c r="M397" s="6" t="b">
        <v>0</v>
      </c>
      <c r="N397" s="6" t="s">
        <v>28</v>
      </c>
      <c r="O397" s="6" t="s">
        <v>2332</v>
      </c>
      <c r="P397" s="6" t="s">
        <v>28</v>
      </c>
      <c r="Q397" s="6" t="s">
        <v>2333</v>
      </c>
      <c r="R397" s="6" t="s">
        <v>110</v>
      </c>
      <c r="S397" s="5" t="s">
        <v>3323</v>
      </c>
      <c r="T397" s="10"/>
      <c r="U397" s="6"/>
    </row>
    <row r="398" spans="1:21" x14ac:dyDescent="0.2">
      <c r="A398" s="8">
        <v>4.3600000000000003</v>
      </c>
      <c r="B398" s="5" t="s">
        <v>1787</v>
      </c>
      <c r="C398" s="5" t="s">
        <v>863</v>
      </c>
      <c r="D398" s="6" t="s">
        <v>2339</v>
      </c>
      <c r="E398" s="6" t="s">
        <v>1655</v>
      </c>
      <c r="F398" s="6" t="s">
        <v>427</v>
      </c>
      <c r="G398" s="5" t="s">
        <v>23</v>
      </c>
      <c r="H398" s="5"/>
      <c r="I398" s="5"/>
      <c r="J398" s="54">
        <v>0</v>
      </c>
      <c r="K398" s="6" t="s">
        <v>2340</v>
      </c>
      <c r="L398" s="6" t="s">
        <v>2341</v>
      </c>
      <c r="M398" s="6" t="b">
        <v>0</v>
      </c>
      <c r="N398" s="6" t="s">
        <v>2342</v>
      </c>
      <c r="O398" s="6" t="s">
        <v>2343</v>
      </c>
      <c r="P398" s="6" t="s">
        <v>28</v>
      </c>
      <c r="Q398" s="6" t="s">
        <v>2344</v>
      </c>
      <c r="R398" s="6" t="s">
        <v>871</v>
      </c>
      <c r="S398" s="5" t="s">
        <v>3323</v>
      </c>
      <c r="T398" s="10"/>
      <c r="U398" s="6"/>
    </row>
    <row r="399" spans="1:21" x14ac:dyDescent="0.2">
      <c r="A399" s="8">
        <v>4.3600000000000003</v>
      </c>
      <c r="B399" s="5" t="s">
        <v>1787</v>
      </c>
      <c r="C399" s="5" t="s">
        <v>863</v>
      </c>
      <c r="D399" s="6" t="s">
        <v>2345</v>
      </c>
      <c r="E399" s="6" t="s">
        <v>873</v>
      </c>
      <c r="F399" s="6" t="s">
        <v>427</v>
      </c>
      <c r="G399" s="5" t="s">
        <v>23</v>
      </c>
      <c r="H399" s="5"/>
      <c r="I399" s="5"/>
      <c r="J399" s="54">
        <v>0</v>
      </c>
      <c r="K399" s="6" t="s">
        <v>2340</v>
      </c>
      <c r="L399" s="6" t="s">
        <v>2346</v>
      </c>
      <c r="M399" s="6" t="b">
        <v>0</v>
      </c>
      <c r="N399" s="6" t="s">
        <v>2347</v>
      </c>
      <c r="O399" s="6" t="s">
        <v>873</v>
      </c>
      <c r="P399" s="6" t="s">
        <v>28</v>
      </c>
      <c r="Q399" s="6" t="s">
        <v>2348</v>
      </c>
      <c r="R399" s="6" t="s">
        <v>871</v>
      </c>
      <c r="S399" s="5" t="s">
        <v>3323</v>
      </c>
      <c r="T399" s="10"/>
      <c r="U399" s="6"/>
    </row>
    <row r="400" spans="1:21" x14ac:dyDescent="0.2">
      <c r="A400" s="8">
        <v>4.3499999999999996</v>
      </c>
      <c r="B400" s="5" t="s">
        <v>1787</v>
      </c>
      <c r="C400" s="5" t="s">
        <v>101</v>
      </c>
      <c r="D400" s="6" t="s">
        <v>2349</v>
      </c>
      <c r="E400" s="6" t="s">
        <v>2350</v>
      </c>
      <c r="F400" s="6" t="s">
        <v>42</v>
      </c>
      <c r="G400" s="5" t="s">
        <v>104</v>
      </c>
      <c r="H400" s="5"/>
      <c r="I400" s="5"/>
      <c r="J400" s="54">
        <v>0</v>
      </c>
      <c r="K400" s="6" t="s">
        <v>2351</v>
      </c>
      <c r="L400" s="6" t="s">
        <v>2352</v>
      </c>
      <c r="M400" s="6" t="b">
        <v>0</v>
      </c>
      <c r="N400" s="6" t="s">
        <v>28</v>
      </c>
      <c r="O400" s="6" t="s">
        <v>2353</v>
      </c>
      <c r="P400" s="6" t="s">
        <v>28</v>
      </c>
      <c r="Q400" s="6" t="s">
        <v>2354</v>
      </c>
      <c r="R400" s="6" t="s">
        <v>110</v>
      </c>
      <c r="S400" s="5" t="s">
        <v>3323</v>
      </c>
      <c r="T400" s="10"/>
      <c r="U400" s="6"/>
    </row>
    <row r="401" spans="1:21" x14ac:dyDescent="0.2">
      <c r="A401" s="8">
        <v>4.34</v>
      </c>
      <c r="B401" s="5" t="s">
        <v>1787</v>
      </c>
      <c r="C401" s="5" t="s">
        <v>101</v>
      </c>
      <c r="D401" s="6" t="s">
        <v>2359</v>
      </c>
      <c r="E401" s="6" t="s">
        <v>2360</v>
      </c>
      <c r="F401" s="6" t="s">
        <v>33</v>
      </c>
      <c r="G401" s="5" t="s">
        <v>104</v>
      </c>
      <c r="H401" s="5"/>
      <c r="I401" s="5"/>
      <c r="J401" s="54">
        <v>0</v>
      </c>
      <c r="K401" s="6" t="s">
        <v>2361</v>
      </c>
      <c r="L401" s="6" t="s">
        <v>59</v>
      </c>
      <c r="M401" s="6" t="b">
        <v>0</v>
      </c>
      <c r="N401" s="6" t="s">
        <v>28</v>
      </c>
      <c r="O401" s="6" t="s">
        <v>2362</v>
      </c>
      <c r="P401" s="6" t="s">
        <v>28</v>
      </c>
      <c r="Q401" s="6" t="s">
        <v>2363</v>
      </c>
      <c r="R401" s="6" t="s">
        <v>110</v>
      </c>
      <c r="S401" s="5" t="s">
        <v>3323</v>
      </c>
      <c r="T401" s="10"/>
      <c r="U401" s="6"/>
    </row>
    <row r="402" spans="1:21" x14ac:dyDescent="0.2">
      <c r="A402" s="8">
        <v>4.34</v>
      </c>
      <c r="B402" s="5" t="s">
        <v>1787</v>
      </c>
      <c r="C402" s="5" t="s">
        <v>101</v>
      </c>
      <c r="D402" s="6" t="s">
        <v>2364</v>
      </c>
      <c r="E402" s="6" t="s">
        <v>2142</v>
      </c>
      <c r="F402" s="6" t="s">
        <v>427</v>
      </c>
      <c r="G402" s="5" t="s">
        <v>104</v>
      </c>
      <c r="H402" s="5"/>
      <c r="I402" s="5"/>
      <c r="J402" s="54">
        <v>0</v>
      </c>
      <c r="K402" s="6" t="s">
        <v>291</v>
      </c>
      <c r="L402" s="6" t="s">
        <v>59</v>
      </c>
      <c r="M402" s="6" t="b">
        <v>0</v>
      </c>
      <c r="N402" s="6" t="s">
        <v>28</v>
      </c>
      <c r="O402" s="6" t="s">
        <v>2365</v>
      </c>
      <c r="P402" s="6" t="s">
        <v>28</v>
      </c>
      <c r="Q402" s="6" t="s">
        <v>2366</v>
      </c>
      <c r="R402" s="6" t="s">
        <v>110</v>
      </c>
      <c r="S402" s="5" t="s">
        <v>3323</v>
      </c>
      <c r="T402" s="10"/>
      <c r="U402" s="6"/>
    </row>
    <row r="403" spans="1:21" x14ac:dyDescent="0.2">
      <c r="A403" s="8">
        <v>4.33</v>
      </c>
      <c r="B403" s="5" t="s">
        <v>1787</v>
      </c>
      <c r="C403" s="5" t="s">
        <v>101</v>
      </c>
      <c r="D403" s="6" t="s">
        <v>2367</v>
      </c>
      <c r="E403" s="6" t="s">
        <v>1847</v>
      </c>
      <c r="F403" s="6" t="s">
        <v>120</v>
      </c>
      <c r="G403" s="5" t="s">
        <v>104</v>
      </c>
      <c r="H403" s="5"/>
      <c r="I403" s="5"/>
      <c r="J403" s="54">
        <v>1200</v>
      </c>
      <c r="K403" s="6" t="s">
        <v>2368</v>
      </c>
      <c r="L403" s="6" t="s">
        <v>2369</v>
      </c>
      <c r="M403" s="6" t="b">
        <v>0</v>
      </c>
      <c r="N403" s="6" t="s">
        <v>1634</v>
      </c>
      <c r="O403" s="6" t="s">
        <v>2370</v>
      </c>
      <c r="P403" s="6" t="s">
        <v>28</v>
      </c>
      <c r="Q403" s="6" t="s">
        <v>2172</v>
      </c>
      <c r="R403" s="6" t="s">
        <v>110</v>
      </c>
      <c r="S403" s="5" t="s">
        <v>3323</v>
      </c>
      <c r="T403" s="10"/>
      <c r="U403" s="6"/>
    </row>
    <row r="404" spans="1:21" x14ac:dyDescent="0.2">
      <c r="A404" s="8">
        <v>4.32</v>
      </c>
      <c r="B404" s="5" t="s">
        <v>1787</v>
      </c>
      <c r="C404" s="5" t="s">
        <v>101</v>
      </c>
      <c r="D404" s="6" t="s">
        <v>2371</v>
      </c>
      <c r="E404" s="6" t="s">
        <v>950</v>
      </c>
      <c r="F404" s="6" t="s">
        <v>42</v>
      </c>
      <c r="G404" s="5" t="s">
        <v>104</v>
      </c>
      <c r="H404" s="5"/>
      <c r="I404" s="5"/>
      <c r="J404" s="54">
        <v>0</v>
      </c>
      <c r="K404" s="6" t="s">
        <v>2372</v>
      </c>
      <c r="L404" s="6" t="s">
        <v>525</v>
      </c>
      <c r="M404" s="6" t="b">
        <v>0</v>
      </c>
      <c r="N404" s="6" t="s">
        <v>2373</v>
      </c>
      <c r="O404" s="6" t="s">
        <v>1296</v>
      </c>
      <c r="P404" s="6"/>
      <c r="Q404" s="6" t="s">
        <v>2374</v>
      </c>
      <c r="R404" s="6" t="s">
        <v>110</v>
      </c>
      <c r="S404" s="5" t="s">
        <v>3323</v>
      </c>
      <c r="T404" s="10"/>
      <c r="U404" s="6"/>
    </row>
    <row r="405" spans="1:21" x14ac:dyDescent="0.2">
      <c r="A405" s="8">
        <v>4.32</v>
      </c>
      <c r="B405" s="5" t="s">
        <v>1787</v>
      </c>
      <c r="C405" s="5" t="s">
        <v>101</v>
      </c>
      <c r="D405" s="6" t="s">
        <v>2375</v>
      </c>
      <c r="E405" s="6" t="s">
        <v>103</v>
      </c>
      <c r="F405" s="6" t="s">
        <v>22</v>
      </c>
      <c r="G405" s="5" t="s">
        <v>104</v>
      </c>
      <c r="H405" s="5"/>
      <c r="I405" s="5"/>
      <c r="J405" s="54">
        <v>0</v>
      </c>
      <c r="K405" s="6" t="s">
        <v>105</v>
      </c>
      <c r="L405" s="6" t="s">
        <v>59</v>
      </c>
      <c r="M405" s="6" t="b">
        <v>1</v>
      </c>
      <c r="N405" s="6" t="s">
        <v>2376</v>
      </c>
      <c r="O405" s="6" t="s">
        <v>243</v>
      </c>
      <c r="P405" s="6" t="s">
        <v>28</v>
      </c>
      <c r="Q405" s="6" t="s">
        <v>2377</v>
      </c>
      <c r="R405" s="6" t="s">
        <v>110</v>
      </c>
      <c r="S405" s="5" t="s">
        <v>3323</v>
      </c>
      <c r="T405" s="10"/>
      <c r="U405" s="6"/>
    </row>
    <row r="406" spans="1:21" x14ac:dyDescent="0.2">
      <c r="A406" s="8">
        <v>4.32</v>
      </c>
      <c r="B406" s="5" t="s">
        <v>1787</v>
      </c>
      <c r="C406" s="5" t="s">
        <v>101</v>
      </c>
      <c r="D406" s="6" t="s">
        <v>2378</v>
      </c>
      <c r="E406" s="6" t="s">
        <v>2335</v>
      </c>
      <c r="F406" s="6" t="s">
        <v>33</v>
      </c>
      <c r="G406" s="5" t="s">
        <v>104</v>
      </c>
      <c r="H406" s="5"/>
      <c r="I406" s="5"/>
      <c r="J406" s="54">
        <v>0</v>
      </c>
      <c r="K406" s="6" t="s">
        <v>2379</v>
      </c>
      <c r="L406" s="6" t="s">
        <v>2380</v>
      </c>
      <c r="M406" s="6" t="b">
        <v>0</v>
      </c>
      <c r="N406" s="6" t="s">
        <v>2381</v>
      </c>
      <c r="O406" s="6" t="s">
        <v>2382</v>
      </c>
      <c r="P406" s="6" t="s">
        <v>28</v>
      </c>
      <c r="Q406" s="6" t="s">
        <v>2383</v>
      </c>
      <c r="R406" s="6" t="s">
        <v>110</v>
      </c>
      <c r="S406" s="5" t="s">
        <v>3323</v>
      </c>
      <c r="T406" s="10"/>
      <c r="U406" s="6"/>
    </row>
    <row r="407" spans="1:21" hidden="1" x14ac:dyDescent="0.2">
      <c r="A407">
        <v>4.3099999999999996</v>
      </c>
      <c r="B407" t="s">
        <v>514</v>
      </c>
      <c r="C407" t="s">
        <v>101</v>
      </c>
      <c r="D407" t="s">
        <v>2389</v>
      </c>
      <c r="E407" t="s">
        <v>1877</v>
      </c>
      <c r="F407" t="s">
        <v>427</v>
      </c>
      <c r="G407" t="s">
        <v>104</v>
      </c>
      <c r="J407">
        <v>872000</v>
      </c>
      <c r="K407" t="s">
        <v>2390</v>
      </c>
      <c r="L407" t="s">
        <v>525</v>
      </c>
      <c r="M407" t="b">
        <v>1</v>
      </c>
      <c r="N407" t="s">
        <v>2391</v>
      </c>
      <c r="O407" t="s">
        <v>2392</v>
      </c>
      <c r="P407" t="s">
        <v>2393</v>
      </c>
      <c r="Q407" t="s">
        <v>2394</v>
      </c>
      <c r="R407" t="s">
        <v>110</v>
      </c>
      <c r="S407" t="s">
        <v>3323</v>
      </c>
      <c r="T407" s="2"/>
    </row>
    <row r="408" spans="1:21" hidden="1" x14ac:dyDescent="0.2">
      <c r="A408">
        <v>4.3099999999999996</v>
      </c>
      <c r="B408" t="s">
        <v>514</v>
      </c>
      <c r="C408" t="s">
        <v>863</v>
      </c>
      <c r="D408" t="s">
        <v>2395</v>
      </c>
      <c r="E408" t="s">
        <v>2396</v>
      </c>
      <c r="F408" t="s">
        <v>42</v>
      </c>
      <c r="G408" t="s">
        <v>23</v>
      </c>
      <c r="J408">
        <v>0</v>
      </c>
      <c r="K408" t="s">
        <v>2397</v>
      </c>
      <c r="L408" t="s">
        <v>2398</v>
      </c>
      <c r="M408" t="b">
        <v>0</v>
      </c>
      <c r="N408" t="s">
        <v>2399</v>
      </c>
      <c r="O408" t="s">
        <v>2400</v>
      </c>
      <c r="P408" t="s">
        <v>2401</v>
      </c>
      <c r="Q408" t="s">
        <v>2402</v>
      </c>
      <c r="R408" t="s">
        <v>871</v>
      </c>
      <c r="S408" t="s">
        <v>3323</v>
      </c>
      <c r="T408" s="2"/>
    </row>
    <row r="409" spans="1:21" hidden="1" x14ac:dyDescent="0.2">
      <c r="A409">
        <v>4.3</v>
      </c>
      <c r="B409" t="s">
        <v>514</v>
      </c>
      <c r="C409" t="s">
        <v>863</v>
      </c>
      <c r="D409" t="s">
        <v>2403</v>
      </c>
      <c r="E409" t="s">
        <v>2009</v>
      </c>
      <c r="F409" t="s">
        <v>427</v>
      </c>
      <c r="G409" t="s">
        <v>23</v>
      </c>
      <c r="J409">
        <v>0</v>
      </c>
      <c r="K409" t="s">
        <v>2404</v>
      </c>
      <c r="L409" t="s">
        <v>2405</v>
      </c>
      <c r="M409" t="b">
        <v>1</v>
      </c>
      <c r="N409" t="s">
        <v>2406</v>
      </c>
      <c r="O409" t="s">
        <v>2407</v>
      </c>
      <c r="P409" t="s">
        <v>2408</v>
      </c>
      <c r="Q409" t="s">
        <v>2409</v>
      </c>
      <c r="R409" t="s">
        <v>871</v>
      </c>
      <c r="S409" t="s">
        <v>3323</v>
      </c>
      <c r="T409" s="2"/>
    </row>
    <row r="410" spans="1:21" hidden="1" x14ac:dyDescent="0.2">
      <c r="A410">
        <v>4.29</v>
      </c>
      <c r="B410" t="s">
        <v>514</v>
      </c>
      <c r="C410" t="s">
        <v>101</v>
      </c>
      <c r="D410" t="s">
        <v>2410</v>
      </c>
      <c r="E410" t="s">
        <v>1146</v>
      </c>
      <c r="F410" t="s">
        <v>427</v>
      </c>
      <c r="G410" t="s">
        <v>104</v>
      </c>
      <c r="J410">
        <v>0</v>
      </c>
      <c r="K410" t="s">
        <v>1147</v>
      </c>
      <c r="L410" t="s">
        <v>525</v>
      </c>
      <c r="M410" t="b">
        <v>1</v>
      </c>
      <c r="N410" t="s">
        <v>2411</v>
      </c>
      <c r="O410" t="s">
        <v>2412</v>
      </c>
      <c r="P410" t="s">
        <v>2413</v>
      </c>
      <c r="Q410" t="s">
        <v>1151</v>
      </c>
      <c r="R410" t="s">
        <v>110</v>
      </c>
      <c r="S410" t="s">
        <v>3323</v>
      </c>
      <c r="T410" s="2"/>
    </row>
    <row r="411" spans="1:21" x14ac:dyDescent="0.2">
      <c r="A411" s="8">
        <v>4.32</v>
      </c>
      <c r="B411" s="5" t="s">
        <v>1787</v>
      </c>
      <c r="C411" s="5" t="s">
        <v>101</v>
      </c>
      <c r="D411" s="6" t="s">
        <v>2384</v>
      </c>
      <c r="E411" s="6" t="s">
        <v>2385</v>
      </c>
      <c r="F411" s="6" t="s">
        <v>33</v>
      </c>
      <c r="G411" s="5" t="s">
        <v>104</v>
      </c>
      <c r="H411" s="5"/>
      <c r="I411" s="5"/>
      <c r="J411" s="54">
        <v>0</v>
      </c>
      <c r="K411" s="6" t="s">
        <v>2386</v>
      </c>
      <c r="L411" s="6" t="s">
        <v>2380</v>
      </c>
      <c r="M411" s="6" t="b">
        <v>0</v>
      </c>
      <c r="N411" s="6" t="s">
        <v>2381</v>
      </c>
      <c r="O411" s="6" t="s">
        <v>2387</v>
      </c>
      <c r="P411" s="6" t="s">
        <v>28</v>
      </c>
      <c r="Q411" s="6" t="s">
        <v>2388</v>
      </c>
      <c r="R411" s="6" t="s">
        <v>110</v>
      </c>
      <c r="S411" s="5" t="s">
        <v>3323</v>
      </c>
      <c r="T411" s="10"/>
      <c r="U411" s="6"/>
    </row>
    <row r="412" spans="1:21" hidden="1" x14ac:dyDescent="0.2">
      <c r="A412">
        <v>4.2699999999999996</v>
      </c>
      <c r="B412" t="s">
        <v>514</v>
      </c>
      <c r="C412" t="s">
        <v>101</v>
      </c>
      <c r="D412" t="s">
        <v>2416</v>
      </c>
      <c r="E412" t="s">
        <v>2212</v>
      </c>
      <c r="F412" t="s">
        <v>427</v>
      </c>
      <c r="G412" t="s">
        <v>104</v>
      </c>
      <c r="J412">
        <v>5000</v>
      </c>
      <c r="K412" t="s">
        <v>291</v>
      </c>
      <c r="L412" t="s">
        <v>2417</v>
      </c>
      <c r="M412" t="b">
        <v>1</v>
      </c>
      <c r="N412" t="s">
        <v>2418</v>
      </c>
      <c r="O412" t="s">
        <v>2212</v>
      </c>
      <c r="P412" t="s">
        <v>2419</v>
      </c>
      <c r="Q412" t="s">
        <v>2420</v>
      </c>
      <c r="R412" t="s">
        <v>110</v>
      </c>
      <c r="S412" t="s">
        <v>3323</v>
      </c>
      <c r="T412" s="2"/>
    </row>
    <row r="413" spans="1:21" x14ac:dyDescent="0.2">
      <c r="A413" s="8">
        <v>4.28</v>
      </c>
      <c r="B413" s="5" t="s">
        <v>1787</v>
      </c>
      <c r="C413" s="5" t="s">
        <v>101</v>
      </c>
      <c r="D413" s="6" t="s">
        <v>2414</v>
      </c>
      <c r="E413" s="6" t="s">
        <v>1719</v>
      </c>
      <c r="F413" s="6" t="s">
        <v>33</v>
      </c>
      <c r="G413" s="5" t="s">
        <v>104</v>
      </c>
      <c r="H413" s="5"/>
      <c r="I413" s="5"/>
      <c r="J413" s="54">
        <v>0</v>
      </c>
      <c r="K413" s="6" t="s">
        <v>1389</v>
      </c>
      <c r="L413" s="6" t="s">
        <v>525</v>
      </c>
      <c r="M413" s="6" t="b">
        <v>0</v>
      </c>
      <c r="N413" s="6" t="s">
        <v>818</v>
      </c>
      <c r="O413" s="6" t="s">
        <v>2415</v>
      </c>
      <c r="P413" s="6" t="s">
        <v>1442</v>
      </c>
      <c r="Q413" s="6" t="s">
        <v>1722</v>
      </c>
      <c r="R413" s="6" t="s">
        <v>110</v>
      </c>
      <c r="S413" s="5" t="s">
        <v>3323</v>
      </c>
      <c r="T413" s="10"/>
      <c r="U413" s="6"/>
    </row>
    <row r="414" spans="1:21" hidden="1" x14ac:dyDescent="0.2">
      <c r="A414">
        <v>4.2699999999999996</v>
      </c>
      <c r="B414" t="s">
        <v>514</v>
      </c>
      <c r="C414" t="s">
        <v>101</v>
      </c>
      <c r="D414" t="s">
        <v>2424</v>
      </c>
      <c r="E414" t="s">
        <v>2335</v>
      </c>
      <c r="F414" t="s">
        <v>33</v>
      </c>
      <c r="G414" t="s">
        <v>104</v>
      </c>
      <c r="J414">
        <v>0</v>
      </c>
      <c r="K414" t="s">
        <v>2425</v>
      </c>
      <c r="L414" t="s">
        <v>59</v>
      </c>
      <c r="M414" t="b">
        <v>1</v>
      </c>
      <c r="N414" t="s">
        <v>28</v>
      </c>
      <c r="O414" t="s">
        <v>2426</v>
      </c>
      <c r="P414" t="s">
        <v>28</v>
      </c>
      <c r="Q414" t="s">
        <v>2427</v>
      </c>
      <c r="R414" t="s">
        <v>110</v>
      </c>
      <c r="S414" t="s">
        <v>3323</v>
      </c>
      <c r="T414" s="2"/>
    </row>
    <row r="415" spans="1:21" hidden="1" x14ac:dyDescent="0.2">
      <c r="A415">
        <v>4.25</v>
      </c>
      <c r="B415" t="s">
        <v>514</v>
      </c>
      <c r="C415" t="s">
        <v>101</v>
      </c>
      <c r="D415" t="s">
        <v>2428</v>
      </c>
      <c r="E415" t="s">
        <v>2429</v>
      </c>
      <c r="F415" t="s">
        <v>120</v>
      </c>
      <c r="G415" t="s">
        <v>104</v>
      </c>
      <c r="J415">
        <v>0</v>
      </c>
      <c r="K415" t="s">
        <v>2430</v>
      </c>
      <c r="L415" t="s">
        <v>2431</v>
      </c>
      <c r="M415" t="b">
        <v>0</v>
      </c>
      <c r="N415" t="s">
        <v>2095</v>
      </c>
      <c r="O415" t="s">
        <v>2432</v>
      </c>
      <c r="P415" t="s">
        <v>2433</v>
      </c>
      <c r="Q415" t="s">
        <v>2434</v>
      </c>
      <c r="R415" t="s">
        <v>110</v>
      </c>
      <c r="S415" t="s">
        <v>3323</v>
      </c>
      <c r="T415" s="2"/>
    </row>
    <row r="416" spans="1:21" hidden="1" x14ac:dyDescent="0.2">
      <c r="A416">
        <v>4.25</v>
      </c>
      <c r="B416" t="s">
        <v>514</v>
      </c>
      <c r="C416" t="s">
        <v>101</v>
      </c>
      <c r="D416" t="s">
        <v>2435</v>
      </c>
      <c r="E416" t="s">
        <v>1527</v>
      </c>
      <c r="F416" t="s">
        <v>427</v>
      </c>
      <c r="G416" t="s">
        <v>104</v>
      </c>
      <c r="J416">
        <v>0</v>
      </c>
      <c r="K416" t="s">
        <v>291</v>
      </c>
      <c r="L416" t="s">
        <v>2417</v>
      </c>
      <c r="M416" t="b">
        <v>1</v>
      </c>
      <c r="N416" t="s">
        <v>2436</v>
      </c>
      <c r="O416" t="s">
        <v>1527</v>
      </c>
      <c r="P416" t="s">
        <v>2437</v>
      </c>
      <c r="Q416" t="s">
        <v>2438</v>
      </c>
      <c r="R416" t="s">
        <v>110</v>
      </c>
      <c r="S416" t="s">
        <v>3323</v>
      </c>
      <c r="T416" s="2"/>
    </row>
    <row r="417" spans="1:21" x14ac:dyDescent="0.2">
      <c r="A417" s="8">
        <v>4.2699999999999996</v>
      </c>
      <c r="B417" s="5" t="s">
        <v>1787</v>
      </c>
      <c r="C417" s="5" t="s">
        <v>101</v>
      </c>
      <c r="D417" s="6" t="s">
        <v>2421</v>
      </c>
      <c r="E417" s="6" t="s">
        <v>1030</v>
      </c>
      <c r="F417" s="6" t="s">
        <v>33</v>
      </c>
      <c r="G417" s="5" t="s">
        <v>104</v>
      </c>
      <c r="H417" s="5"/>
      <c r="I417" s="5"/>
      <c r="J417" s="54">
        <v>0</v>
      </c>
      <c r="K417" s="6" t="s">
        <v>28</v>
      </c>
      <c r="L417" s="6" t="s">
        <v>28</v>
      </c>
      <c r="M417" s="6" t="b">
        <v>0</v>
      </c>
      <c r="N417" s="6" t="s">
        <v>28</v>
      </c>
      <c r="O417" s="6" t="s">
        <v>2422</v>
      </c>
      <c r="P417" s="6" t="s">
        <v>28</v>
      </c>
      <c r="Q417" s="6" t="s">
        <v>2423</v>
      </c>
      <c r="R417" s="6" t="s">
        <v>110</v>
      </c>
      <c r="S417" s="5" t="s">
        <v>3323</v>
      </c>
      <c r="T417" s="10"/>
      <c r="U417" s="6"/>
    </row>
    <row r="418" spans="1:21" x14ac:dyDescent="0.2">
      <c r="A418" s="8">
        <v>4.25</v>
      </c>
      <c r="B418" s="5" t="s">
        <v>1787</v>
      </c>
      <c r="C418" s="5" t="s">
        <v>101</v>
      </c>
      <c r="D418" s="6" t="s">
        <v>2439</v>
      </c>
      <c r="E418" s="6" t="s">
        <v>2440</v>
      </c>
      <c r="F418" s="6" t="s">
        <v>42</v>
      </c>
      <c r="G418" s="5" t="s">
        <v>104</v>
      </c>
      <c r="H418" s="5"/>
      <c r="I418" s="5"/>
      <c r="J418" s="54">
        <v>0</v>
      </c>
      <c r="K418" s="6" t="s">
        <v>2441</v>
      </c>
      <c r="L418" s="6" t="s">
        <v>59</v>
      </c>
      <c r="M418" s="6" t="b">
        <v>0</v>
      </c>
      <c r="N418" s="6" t="s">
        <v>2442</v>
      </c>
      <c r="O418" s="6" t="s">
        <v>2443</v>
      </c>
      <c r="P418" s="6" t="s">
        <v>38</v>
      </c>
      <c r="Q418" s="6" t="s">
        <v>2444</v>
      </c>
      <c r="R418" s="6" t="s">
        <v>110</v>
      </c>
      <c r="S418" s="5" t="s">
        <v>3323</v>
      </c>
      <c r="T418" s="10"/>
      <c r="U418" s="6"/>
    </row>
    <row r="419" spans="1:21" x14ac:dyDescent="0.2">
      <c r="A419" s="8">
        <v>4.22</v>
      </c>
      <c r="B419" s="5" t="s">
        <v>1787</v>
      </c>
      <c r="C419" s="5" t="s">
        <v>101</v>
      </c>
      <c r="D419" s="6" t="s">
        <v>2445</v>
      </c>
      <c r="E419" s="6" t="s">
        <v>304</v>
      </c>
      <c r="F419" s="6" t="s">
        <v>42</v>
      </c>
      <c r="G419" s="5" t="s">
        <v>104</v>
      </c>
      <c r="H419" s="5"/>
      <c r="I419" s="5"/>
      <c r="J419" s="54">
        <v>0</v>
      </c>
      <c r="K419" s="6" t="s">
        <v>2446</v>
      </c>
      <c r="L419" s="6" t="s">
        <v>2447</v>
      </c>
      <c r="M419" s="6" t="b">
        <v>0</v>
      </c>
      <c r="N419" s="6" t="s">
        <v>2448</v>
      </c>
      <c r="O419" s="6" t="s">
        <v>2449</v>
      </c>
      <c r="P419" s="6" t="s">
        <v>28</v>
      </c>
      <c r="Q419" s="6" t="s">
        <v>2450</v>
      </c>
      <c r="R419" s="6" t="s">
        <v>110</v>
      </c>
      <c r="S419" s="5" t="s">
        <v>3323</v>
      </c>
      <c r="T419" s="10"/>
      <c r="U419" s="6"/>
    </row>
    <row r="420" spans="1:21" x14ac:dyDescent="0.2">
      <c r="A420" s="8">
        <v>4.22</v>
      </c>
      <c r="B420" s="5" t="s">
        <v>1787</v>
      </c>
      <c r="C420" s="5" t="s">
        <v>101</v>
      </c>
      <c r="D420" s="6" t="s">
        <v>2451</v>
      </c>
      <c r="E420" s="6" t="s">
        <v>2452</v>
      </c>
      <c r="F420" s="6" t="s">
        <v>33</v>
      </c>
      <c r="G420" s="5" t="s">
        <v>104</v>
      </c>
      <c r="H420" s="5"/>
      <c r="I420" s="5"/>
      <c r="J420" s="54">
        <v>0</v>
      </c>
      <c r="K420" s="6" t="s">
        <v>2453</v>
      </c>
      <c r="L420" s="6" t="s">
        <v>525</v>
      </c>
      <c r="M420" s="6" t="b">
        <v>0</v>
      </c>
      <c r="N420" s="6" t="s">
        <v>1634</v>
      </c>
      <c r="O420" s="6" t="s">
        <v>2454</v>
      </c>
      <c r="P420" s="6" t="s">
        <v>28</v>
      </c>
      <c r="Q420" s="6" t="s">
        <v>2455</v>
      </c>
      <c r="R420" s="6" t="s">
        <v>110</v>
      </c>
      <c r="S420" s="5" t="s">
        <v>3323</v>
      </c>
      <c r="T420" s="10"/>
      <c r="U420" s="6"/>
    </row>
    <row r="421" spans="1:21" hidden="1" x14ac:dyDescent="0.2">
      <c r="A421">
        <v>4.2</v>
      </c>
      <c r="B421" t="s">
        <v>514</v>
      </c>
      <c r="C421" t="s">
        <v>101</v>
      </c>
      <c r="D421" t="s">
        <v>2460</v>
      </c>
      <c r="E421" t="s">
        <v>873</v>
      </c>
      <c r="F421" t="s">
        <v>22</v>
      </c>
      <c r="G421" t="s">
        <v>104</v>
      </c>
      <c r="J421">
        <v>50000</v>
      </c>
      <c r="K421" t="s">
        <v>105</v>
      </c>
      <c r="L421" t="s">
        <v>2461</v>
      </c>
      <c r="M421" t="b">
        <v>1</v>
      </c>
      <c r="N421" t="s">
        <v>2462</v>
      </c>
      <c r="O421" t="s">
        <v>873</v>
      </c>
      <c r="P421" t="s">
        <v>2463</v>
      </c>
      <c r="Q421" t="s">
        <v>2464</v>
      </c>
      <c r="R421" t="s">
        <v>110</v>
      </c>
      <c r="S421" t="s">
        <v>3323</v>
      </c>
      <c r="T421" s="2"/>
    </row>
    <row r="422" spans="1:21" hidden="1" x14ac:dyDescent="0.2">
      <c r="A422">
        <v>4.17</v>
      </c>
      <c r="B422" t="s">
        <v>514</v>
      </c>
      <c r="C422" t="s">
        <v>863</v>
      </c>
      <c r="D422" t="s">
        <v>2465</v>
      </c>
      <c r="E422" t="s">
        <v>2466</v>
      </c>
      <c r="F422" t="s">
        <v>22</v>
      </c>
      <c r="G422" t="s">
        <v>23</v>
      </c>
      <c r="J422">
        <v>1000</v>
      </c>
      <c r="K422" t="s">
        <v>2467</v>
      </c>
      <c r="L422" t="s">
        <v>2468</v>
      </c>
      <c r="M422" t="b">
        <v>0</v>
      </c>
      <c r="N422" t="s">
        <v>2469</v>
      </c>
      <c r="O422" t="s">
        <v>2470</v>
      </c>
      <c r="P422" t="s">
        <v>2471</v>
      </c>
      <c r="Q422" t="s">
        <v>2472</v>
      </c>
      <c r="R422" t="s">
        <v>871</v>
      </c>
      <c r="S422" t="s">
        <v>3323</v>
      </c>
      <c r="T422" s="2"/>
    </row>
    <row r="423" spans="1:21" hidden="1" x14ac:dyDescent="0.2">
      <c r="A423">
        <v>4.16</v>
      </c>
      <c r="B423" t="s">
        <v>514</v>
      </c>
      <c r="C423" t="s">
        <v>101</v>
      </c>
      <c r="D423" t="s">
        <v>2473</v>
      </c>
      <c r="E423" t="s">
        <v>103</v>
      </c>
      <c r="F423" t="s">
        <v>290</v>
      </c>
      <c r="G423" t="s">
        <v>104</v>
      </c>
      <c r="J423">
        <v>0</v>
      </c>
      <c r="K423" t="s">
        <v>291</v>
      </c>
      <c r="L423" t="s">
        <v>210</v>
      </c>
      <c r="M423" t="b">
        <v>0</v>
      </c>
      <c r="N423" t="s">
        <v>2474</v>
      </c>
      <c r="O423" t="s">
        <v>1594</v>
      </c>
      <c r="P423" t="s">
        <v>2475</v>
      </c>
      <c r="Q423" t="s">
        <v>2476</v>
      </c>
      <c r="R423" t="s">
        <v>110</v>
      </c>
      <c r="S423" t="s">
        <v>3323</v>
      </c>
      <c r="T423" s="2"/>
    </row>
    <row r="424" spans="1:21" hidden="1" x14ac:dyDescent="0.2">
      <c r="A424">
        <v>4.16</v>
      </c>
      <c r="B424" t="s">
        <v>514</v>
      </c>
      <c r="C424" t="s">
        <v>863</v>
      </c>
      <c r="D424" t="s">
        <v>2477</v>
      </c>
      <c r="E424" t="s">
        <v>626</v>
      </c>
      <c r="F424" t="s">
        <v>427</v>
      </c>
      <c r="G424" t="s">
        <v>23</v>
      </c>
      <c r="J424">
        <v>0</v>
      </c>
      <c r="K424" t="s">
        <v>2478</v>
      </c>
      <c r="L424" t="s">
        <v>1992</v>
      </c>
      <c r="M424" t="b">
        <v>1</v>
      </c>
      <c r="N424" t="s">
        <v>2479</v>
      </c>
      <c r="O424" t="s">
        <v>2480</v>
      </c>
      <c r="P424" t="s">
        <v>2481</v>
      </c>
      <c r="Q424" t="s">
        <v>2482</v>
      </c>
      <c r="R424" t="s">
        <v>871</v>
      </c>
      <c r="S424" t="s">
        <v>3323</v>
      </c>
      <c r="T424" s="2"/>
    </row>
    <row r="425" spans="1:21" hidden="1" x14ac:dyDescent="0.2">
      <c r="A425">
        <v>4.12</v>
      </c>
      <c r="B425" t="s">
        <v>514</v>
      </c>
      <c r="C425" t="s">
        <v>101</v>
      </c>
      <c r="D425" t="s">
        <v>2483</v>
      </c>
      <c r="E425" t="s">
        <v>2484</v>
      </c>
      <c r="F425" t="s">
        <v>427</v>
      </c>
      <c r="G425" t="s">
        <v>104</v>
      </c>
      <c r="J425">
        <v>0</v>
      </c>
      <c r="K425" t="s">
        <v>2204</v>
      </c>
      <c r="L425" t="s">
        <v>2485</v>
      </c>
      <c r="M425" t="b">
        <v>1</v>
      </c>
      <c r="N425" t="s">
        <v>2486</v>
      </c>
      <c r="O425" t="s">
        <v>2487</v>
      </c>
      <c r="P425" t="s">
        <v>2488</v>
      </c>
      <c r="Q425" t="s">
        <v>2489</v>
      </c>
      <c r="R425" t="s">
        <v>110</v>
      </c>
      <c r="S425" t="s">
        <v>3323</v>
      </c>
      <c r="T425" s="2"/>
    </row>
    <row r="426" spans="1:21" hidden="1" x14ac:dyDescent="0.2">
      <c r="A426">
        <v>4.1100000000000003</v>
      </c>
      <c r="B426" t="s">
        <v>514</v>
      </c>
      <c r="C426" t="s">
        <v>101</v>
      </c>
      <c r="D426" t="s">
        <v>2490</v>
      </c>
      <c r="E426" t="s">
        <v>2491</v>
      </c>
      <c r="F426" t="s">
        <v>810</v>
      </c>
      <c r="G426" t="s">
        <v>104</v>
      </c>
      <c r="J426">
        <v>0</v>
      </c>
      <c r="K426" t="s">
        <v>2492</v>
      </c>
      <c r="L426" t="s">
        <v>2493</v>
      </c>
      <c r="M426" t="b">
        <v>0</v>
      </c>
      <c r="N426" t="s">
        <v>2494</v>
      </c>
      <c r="O426" t="s">
        <v>2495</v>
      </c>
      <c r="P426" t="s">
        <v>2496</v>
      </c>
      <c r="Q426" t="s">
        <v>2497</v>
      </c>
      <c r="R426" t="s">
        <v>110</v>
      </c>
      <c r="S426" t="s">
        <v>3323</v>
      </c>
      <c r="T426" s="2"/>
    </row>
    <row r="427" spans="1:21" hidden="1" x14ac:dyDescent="0.2">
      <c r="A427">
        <v>4.1100000000000003</v>
      </c>
      <c r="B427" t="s">
        <v>514</v>
      </c>
      <c r="C427" t="s">
        <v>101</v>
      </c>
      <c r="D427" t="s">
        <v>2498</v>
      </c>
      <c r="E427" t="s">
        <v>103</v>
      </c>
      <c r="F427" t="s">
        <v>290</v>
      </c>
      <c r="G427" t="s">
        <v>104</v>
      </c>
      <c r="J427">
        <v>0</v>
      </c>
      <c r="K427" t="s">
        <v>291</v>
      </c>
      <c r="L427" t="s">
        <v>210</v>
      </c>
      <c r="M427" t="b">
        <v>0</v>
      </c>
      <c r="N427" t="s">
        <v>1174</v>
      </c>
      <c r="O427" t="s">
        <v>1594</v>
      </c>
      <c r="P427" t="s">
        <v>2499</v>
      </c>
      <c r="Q427" t="s">
        <v>2500</v>
      </c>
      <c r="R427" t="s">
        <v>110</v>
      </c>
      <c r="S427" t="s">
        <v>3323</v>
      </c>
      <c r="T427" s="2"/>
    </row>
    <row r="428" spans="1:21" hidden="1" x14ac:dyDescent="0.2">
      <c r="A428">
        <v>4.1100000000000003</v>
      </c>
      <c r="B428" t="s">
        <v>514</v>
      </c>
      <c r="C428" t="s">
        <v>101</v>
      </c>
      <c r="D428" t="s">
        <v>2501</v>
      </c>
      <c r="E428" t="s">
        <v>103</v>
      </c>
      <c r="F428" t="s">
        <v>22</v>
      </c>
      <c r="G428" t="s">
        <v>104</v>
      </c>
      <c r="J428">
        <v>0</v>
      </c>
      <c r="K428" t="s">
        <v>291</v>
      </c>
      <c r="L428" t="s">
        <v>2502</v>
      </c>
      <c r="M428" t="b">
        <v>0</v>
      </c>
      <c r="N428" t="s">
        <v>1174</v>
      </c>
      <c r="O428" t="s">
        <v>1594</v>
      </c>
      <c r="P428" t="s">
        <v>2503</v>
      </c>
      <c r="Q428" t="s">
        <v>2504</v>
      </c>
      <c r="R428" t="s">
        <v>110</v>
      </c>
      <c r="S428" t="s">
        <v>3323</v>
      </c>
      <c r="T428" s="2"/>
    </row>
    <row r="429" spans="1:21" x14ac:dyDescent="0.2">
      <c r="A429" s="8">
        <v>4.21</v>
      </c>
      <c r="B429" s="5" t="s">
        <v>1787</v>
      </c>
      <c r="C429" s="5" t="s">
        <v>101</v>
      </c>
      <c r="D429" s="6" t="s">
        <v>2456</v>
      </c>
      <c r="E429" s="6" t="s">
        <v>2093</v>
      </c>
      <c r="F429" s="6" t="s">
        <v>42</v>
      </c>
      <c r="G429" s="5" t="s">
        <v>104</v>
      </c>
      <c r="H429" s="5"/>
      <c r="I429" s="5"/>
      <c r="J429" s="54">
        <v>0</v>
      </c>
      <c r="K429" s="6" t="s">
        <v>1198</v>
      </c>
      <c r="L429" s="6" t="s">
        <v>59</v>
      </c>
      <c r="M429" s="6" t="b">
        <v>0</v>
      </c>
      <c r="N429" s="6" t="s">
        <v>2457</v>
      </c>
      <c r="O429" s="6" t="s">
        <v>2458</v>
      </c>
      <c r="P429" s="6" t="s">
        <v>28</v>
      </c>
      <c r="Q429" s="6" t="s">
        <v>2459</v>
      </c>
      <c r="R429" s="6" t="s">
        <v>110</v>
      </c>
      <c r="S429" s="5" t="s">
        <v>3323</v>
      </c>
      <c r="T429" s="10"/>
      <c r="U429" s="6"/>
    </row>
    <row r="430" spans="1:21" hidden="1" x14ac:dyDescent="0.2">
      <c r="A430">
        <v>4.09</v>
      </c>
      <c r="B430" t="s">
        <v>514</v>
      </c>
      <c r="C430" t="s">
        <v>863</v>
      </c>
      <c r="D430" t="s">
        <v>2508</v>
      </c>
      <c r="E430" t="s">
        <v>2509</v>
      </c>
      <c r="F430" t="s">
        <v>22</v>
      </c>
      <c r="G430" t="s">
        <v>23</v>
      </c>
      <c r="J430">
        <v>0</v>
      </c>
      <c r="K430" t="s">
        <v>2510</v>
      </c>
      <c r="L430" t="s">
        <v>2095</v>
      </c>
      <c r="M430" t="b">
        <v>1</v>
      </c>
      <c r="N430" t="s">
        <v>28</v>
      </c>
      <c r="O430" t="s">
        <v>2509</v>
      </c>
      <c r="P430" t="s">
        <v>2511</v>
      </c>
      <c r="Q430" t="s">
        <v>2512</v>
      </c>
      <c r="R430" t="s">
        <v>871</v>
      </c>
      <c r="S430" t="s">
        <v>3323</v>
      </c>
      <c r="T430" s="2"/>
    </row>
    <row r="431" spans="1:21" x14ac:dyDescent="0.2">
      <c r="A431" s="8">
        <v>4.0999999999999996</v>
      </c>
      <c r="B431" s="5" t="s">
        <v>1787</v>
      </c>
      <c r="C431" s="5" t="s">
        <v>101</v>
      </c>
      <c r="D431" s="6" t="s">
        <v>2505</v>
      </c>
      <c r="E431" s="6" t="s">
        <v>2335</v>
      </c>
      <c r="F431" s="6" t="s">
        <v>42</v>
      </c>
      <c r="G431" s="5" t="s">
        <v>104</v>
      </c>
      <c r="H431" s="5"/>
      <c r="I431" s="5"/>
      <c r="J431" s="54">
        <v>0</v>
      </c>
      <c r="K431" s="6" t="s">
        <v>59</v>
      </c>
      <c r="L431" s="6" t="s">
        <v>59</v>
      </c>
      <c r="M431" s="6" t="b">
        <v>0</v>
      </c>
      <c r="N431" s="6" t="s">
        <v>28</v>
      </c>
      <c r="O431" s="6" t="s">
        <v>2506</v>
      </c>
      <c r="P431" s="6" t="s">
        <v>28</v>
      </c>
      <c r="Q431" s="6" t="s">
        <v>2507</v>
      </c>
      <c r="R431" s="6" t="s">
        <v>110</v>
      </c>
      <c r="S431" s="5" t="s">
        <v>3323</v>
      </c>
      <c r="T431" s="10"/>
      <c r="U431" s="6"/>
    </row>
    <row r="432" spans="1:21" hidden="1" x14ac:dyDescent="0.2">
      <c r="A432">
        <v>4.08</v>
      </c>
      <c r="B432" t="s">
        <v>514</v>
      </c>
      <c r="C432" t="s">
        <v>101</v>
      </c>
      <c r="D432" t="s">
        <v>2517</v>
      </c>
      <c r="E432" t="s">
        <v>103</v>
      </c>
      <c r="F432" t="s">
        <v>290</v>
      </c>
      <c r="G432" t="s">
        <v>104</v>
      </c>
      <c r="J432">
        <v>0</v>
      </c>
      <c r="K432" t="s">
        <v>291</v>
      </c>
      <c r="L432" t="s">
        <v>210</v>
      </c>
      <c r="M432" t="b">
        <v>0</v>
      </c>
      <c r="N432" t="s">
        <v>2518</v>
      </c>
      <c r="O432" t="s">
        <v>1594</v>
      </c>
      <c r="P432" t="s">
        <v>2519</v>
      </c>
      <c r="Q432" t="s">
        <v>2520</v>
      </c>
      <c r="R432" t="s">
        <v>110</v>
      </c>
      <c r="S432" t="s">
        <v>3323</v>
      </c>
      <c r="T432" s="2"/>
    </row>
    <row r="433" spans="1:21" hidden="1" x14ac:dyDescent="0.2">
      <c r="A433">
        <v>4.08</v>
      </c>
      <c r="B433" t="s">
        <v>514</v>
      </c>
      <c r="C433" t="s">
        <v>101</v>
      </c>
      <c r="D433" t="s">
        <v>2521</v>
      </c>
      <c r="E433" t="s">
        <v>103</v>
      </c>
      <c r="F433" t="s">
        <v>290</v>
      </c>
      <c r="G433" t="s">
        <v>104</v>
      </c>
      <c r="J433">
        <v>0</v>
      </c>
      <c r="K433" t="s">
        <v>291</v>
      </c>
      <c r="L433" t="s">
        <v>210</v>
      </c>
      <c r="M433" t="b">
        <v>0</v>
      </c>
      <c r="N433" t="s">
        <v>2522</v>
      </c>
      <c r="O433" t="s">
        <v>1594</v>
      </c>
      <c r="P433" t="s">
        <v>2523</v>
      </c>
      <c r="Q433" t="s">
        <v>2524</v>
      </c>
      <c r="R433" t="s">
        <v>110</v>
      </c>
      <c r="S433" t="s">
        <v>3323</v>
      </c>
      <c r="T433" s="2"/>
    </row>
    <row r="434" spans="1:21" hidden="1" x14ac:dyDescent="0.2">
      <c r="A434">
        <v>4.08</v>
      </c>
      <c r="B434" t="s">
        <v>514</v>
      </c>
      <c r="C434" t="s">
        <v>101</v>
      </c>
      <c r="D434" t="s">
        <v>2525</v>
      </c>
      <c r="E434" t="s">
        <v>103</v>
      </c>
      <c r="F434" t="s">
        <v>290</v>
      </c>
      <c r="G434" t="s">
        <v>104</v>
      </c>
      <c r="J434">
        <v>0</v>
      </c>
      <c r="K434" t="s">
        <v>291</v>
      </c>
      <c r="L434" t="s">
        <v>210</v>
      </c>
      <c r="M434" t="b">
        <v>0</v>
      </c>
      <c r="N434" t="s">
        <v>2526</v>
      </c>
      <c r="O434" t="s">
        <v>1594</v>
      </c>
      <c r="P434" t="s">
        <v>2527</v>
      </c>
      <c r="Q434" t="s">
        <v>2528</v>
      </c>
      <c r="R434" t="s">
        <v>110</v>
      </c>
      <c r="S434" t="s">
        <v>3323</v>
      </c>
      <c r="T434" s="2"/>
    </row>
    <row r="435" spans="1:21" x14ac:dyDescent="0.2">
      <c r="A435" s="8">
        <v>4.08</v>
      </c>
      <c r="B435" s="5" t="s">
        <v>1787</v>
      </c>
      <c r="C435" s="5" t="s">
        <v>101</v>
      </c>
      <c r="D435" s="6" t="s">
        <v>2513</v>
      </c>
      <c r="E435" s="6" t="s">
        <v>2514</v>
      </c>
      <c r="F435" s="6" t="s">
        <v>33</v>
      </c>
      <c r="G435" s="5" t="s">
        <v>104</v>
      </c>
      <c r="H435" s="5"/>
      <c r="I435" s="5"/>
      <c r="J435" s="54">
        <v>0</v>
      </c>
      <c r="K435" s="6" t="s">
        <v>525</v>
      </c>
      <c r="L435" s="6" t="s">
        <v>525</v>
      </c>
      <c r="M435" s="6" t="b">
        <v>0</v>
      </c>
      <c r="N435" s="6" t="s">
        <v>1440</v>
      </c>
      <c r="O435" s="6" t="s">
        <v>2515</v>
      </c>
      <c r="P435" s="6"/>
      <c r="Q435" s="6" t="s">
        <v>2516</v>
      </c>
      <c r="R435" s="6" t="s">
        <v>110</v>
      </c>
      <c r="S435" s="5" t="s">
        <v>3323</v>
      </c>
      <c r="T435" s="10"/>
      <c r="U435" s="6"/>
    </row>
    <row r="436" spans="1:21" x14ac:dyDescent="0.2">
      <c r="A436" s="8">
        <v>4.08</v>
      </c>
      <c r="B436" s="5" t="s">
        <v>1787</v>
      </c>
      <c r="C436" s="5" t="s">
        <v>101</v>
      </c>
      <c r="D436" s="6" t="s">
        <v>2529</v>
      </c>
      <c r="E436" s="6" t="s">
        <v>2530</v>
      </c>
      <c r="F436" s="6" t="s">
        <v>33</v>
      </c>
      <c r="G436" s="5" t="s">
        <v>104</v>
      </c>
      <c r="H436" s="5"/>
      <c r="I436" s="5"/>
      <c r="J436" s="54">
        <v>0</v>
      </c>
      <c r="K436" s="6" t="s">
        <v>2531</v>
      </c>
      <c r="L436" s="6" t="s">
        <v>2532</v>
      </c>
      <c r="M436" s="6" t="b">
        <v>0</v>
      </c>
      <c r="N436" s="6" t="s">
        <v>28</v>
      </c>
      <c r="O436" s="6" t="s">
        <v>2533</v>
      </c>
      <c r="P436" s="6" t="s">
        <v>28</v>
      </c>
      <c r="Q436" s="6" t="s">
        <v>2534</v>
      </c>
      <c r="R436" s="6" t="s">
        <v>110</v>
      </c>
      <c r="S436" s="5" t="s">
        <v>3323</v>
      </c>
      <c r="T436" s="10"/>
      <c r="U436" s="6"/>
    </row>
    <row r="437" spans="1:21" hidden="1" x14ac:dyDescent="0.2">
      <c r="A437">
        <v>4.07</v>
      </c>
      <c r="B437" t="s">
        <v>514</v>
      </c>
      <c r="C437" t="s">
        <v>101</v>
      </c>
      <c r="D437" t="s">
        <v>2539</v>
      </c>
      <c r="E437" t="s">
        <v>1030</v>
      </c>
      <c r="F437" t="s">
        <v>33</v>
      </c>
      <c r="G437" t="s">
        <v>104</v>
      </c>
      <c r="J437">
        <v>0</v>
      </c>
      <c r="K437" t="s">
        <v>2540</v>
      </c>
      <c r="L437" t="s">
        <v>59</v>
      </c>
      <c r="M437" t="b">
        <v>1</v>
      </c>
      <c r="N437" t="s">
        <v>28</v>
      </c>
      <c r="O437" t="s">
        <v>2541</v>
      </c>
      <c r="P437" t="s">
        <v>2542</v>
      </c>
      <c r="Q437" t="s">
        <v>2543</v>
      </c>
      <c r="R437" t="s">
        <v>110</v>
      </c>
      <c r="S437" t="s">
        <v>3323</v>
      </c>
      <c r="T437" s="2"/>
    </row>
    <row r="438" spans="1:21" hidden="1" x14ac:dyDescent="0.2">
      <c r="A438">
        <v>4.0599999999999996</v>
      </c>
      <c r="B438" t="s">
        <v>514</v>
      </c>
      <c r="C438" t="s">
        <v>101</v>
      </c>
      <c r="D438" t="s">
        <v>2544</v>
      </c>
      <c r="E438" t="s">
        <v>2545</v>
      </c>
      <c r="F438" t="s">
        <v>427</v>
      </c>
      <c r="G438" t="s">
        <v>104</v>
      </c>
      <c r="J438">
        <v>0</v>
      </c>
      <c r="K438" t="s">
        <v>1147</v>
      </c>
      <c r="L438" t="s">
        <v>525</v>
      </c>
      <c r="M438" t="b">
        <v>1</v>
      </c>
      <c r="N438" t="s">
        <v>2546</v>
      </c>
      <c r="O438" t="s">
        <v>2547</v>
      </c>
      <c r="P438" t="s">
        <v>2548</v>
      </c>
      <c r="Q438" t="s">
        <v>2549</v>
      </c>
      <c r="R438" t="s">
        <v>110</v>
      </c>
      <c r="S438" t="s">
        <v>3323</v>
      </c>
      <c r="T438" s="2"/>
    </row>
    <row r="439" spans="1:21" hidden="1" x14ac:dyDescent="0.2">
      <c r="A439">
        <v>4.05</v>
      </c>
      <c r="B439" t="s">
        <v>514</v>
      </c>
      <c r="C439" t="s">
        <v>101</v>
      </c>
      <c r="D439" t="s">
        <v>2550</v>
      </c>
      <c r="E439" t="s">
        <v>2551</v>
      </c>
      <c r="F439" t="s">
        <v>33</v>
      </c>
      <c r="G439" t="s">
        <v>104</v>
      </c>
      <c r="J439">
        <v>0</v>
      </c>
      <c r="K439" t="s">
        <v>2552</v>
      </c>
      <c r="L439" t="s">
        <v>2553</v>
      </c>
      <c r="M439" t="b">
        <v>0</v>
      </c>
      <c r="N439" t="s">
        <v>2554</v>
      </c>
      <c r="O439" t="s">
        <v>2555</v>
      </c>
      <c r="P439" t="s">
        <v>2556</v>
      </c>
      <c r="Q439" t="s">
        <v>2557</v>
      </c>
      <c r="R439" t="s">
        <v>110</v>
      </c>
      <c r="S439" t="s">
        <v>3323</v>
      </c>
      <c r="T439" s="2"/>
    </row>
    <row r="440" spans="1:21" x14ac:dyDescent="0.2">
      <c r="A440" s="8">
        <v>4.07</v>
      </c>
      <c r="B440" s="5" t="s">
        <v>1787</v>
      </c>
      <c r="C440" s="5" t="s">
        <v>101</v>
      </c>
      <c r="D440" s="6" t="s">
        <v>2535</v>
      </c>
      <c r="E440" s="6" t="s">
        <v>2350</v>
      </c>
      <c r="F440" s="6" t="s">
        <v>73</v>
      </c>
      <c r="G440" s="5" t="s">
        <v>104</v>
      </c>
      <c r="H440" s="5"/>
      <c r="I440" s="5"/>
      <c r="J440" s="54">
        <v>0</v>
      </c>
      <c r="K440" s="6" t="s">
        <v>525</v>
      </c>
      <c r="L440" s="6" t="s">
        <v>525</v>
      </c>
      <c r="M440" s="6" t="b">
        <v>0</v>
      </c>
      <c r="N440" s="6" t="s">
        <v>2536</v>
      </c>
      <c r="O440" s="6" t="s">
        <v>2537</v>
      </c>
      <c r="P440" s="6" t="s">
        <v>28</v>
      </c>
      <c r="Q440" s="6" t="s">
        <v>2538</v>
      </c>
      <c r="R440" s="6" t="s">
        <v>110</v>
      </c>
      <c r="S440" s="5" t="s">
        <v>3323</v>
      </c>
      <c r="T440" s="10"/>
      <c r="U440" s="6"/>
    </row>
    <row r="441" spans="1:21" x14ac:dyDescent="0.2">
      <c r="A441" s="8">
        <v>4.0199999999999996</v>
      </c>
      <c r="B441" s="5" t="s">
        <v>1787</v>
      </c>
      <c r="C441" s="5" t="s">
        <v>101</v>
      </c>
      <c r="D441" s="6" t="s">
        <v>2558</v>
      </c>
      <c r="E441" s="6" t="s">
        <v>2559</v>
      </c>
      <c r="F441" s="6" t="s">
        <v>427</v>
      </c>
      <c r="G441" s="5" t="s">
        <v>104</v>
      </c>
      <c r="H441" s="5"/>
      <c r="I441" s="5"/>
      <c r="J441" s="54">
        <v>0</v>
      </c>
      <c r="K441" s="6" t="s">
        <v>1191</v>
      </c>
      <c r="L441" s="6" t="s">
        <v>2560</v>
      </c>
      <c r="M441" s="6" t="b">
        <v>0</v>
      </c>
      <c r="N441" s="6" t="s">
        <v>2561</v>
      </c>
      <c r="O441" s="6" t="s">
        <v>2562</v>
      </c>
      <c r="P441" s="6" t="s">
        <v>2563</v>
      </c>
      <c r="Q441" s="6" t="s">
        <v>2564</v>
      </c>
      <c r="R441" s="6" t="s">
        <v>110</v>
      </c>
      <c r="S441" s="5" t="s">
        <v>3323</v>
      </c>
      <c r="T441" s="10"/>
      <c r="U441" s="6"/>
    </row>
    <row r="442" spans="1:21" x14ac:dyDescent="0.2">
      <c r="A442" s="8">
        <v>4.0199999999999996</v>
      </c>
      <c r="B442" s="5" t="s">
        <v>1787</v>
      </c>
      <c r="C442" s="5" t="s">
        <v>101</v>
      </c>
      <c r="D442" s="6" t="s">
        <v>2565</v>
      </c>
      <c r="E442" s="6" t="s">
        <v>2470</v>
      </c>
      <c r="F442" s="6" t="s">
        <v>22</v>
      </c>
      <c r="G442" s="5" t="s">
        <v>104</v>
      </c>
      <c r="H442" s="5"/>
      <c r="I442" s="5"/>
      <c r="J442" s="54">
        <v>1000</v>
      </c>
      <c r="K442" s="6" t="s">
        <v>2566</v>
      </c>
      <c r="L442" s="6" t="s">
        <v>2567</v>
      </c>
      <c r="M442" s="6" t="b">
        <v>0</v>
      </c>
      <c r="N442" s="6" t="s">
        <v>2568</v>
      </c>
      <c r="O442" s="6" t="s">
        <v>2569</v>
      </c>
      <c r="P442" s="6" t="s">
        <v>28</v>
      </c>
      <c r="Q442" s="6" t="s">
        <v>2570</v>
      </c>
      <c r="R442" s="6" t="s">
        <v>110</v>
      </c>
      <c r="S442" s="5" t="s">
        <v>3323</v>
      </c>
      <c r="T442" s="10"/>
      <c r="U442" s="6"/>
    </row>
    <row r="443" spans="1:21" x14ac:dyDescent="0.2">
      <c r="A443" s="8">
        <v>4</v>
      </c>
      <c r="B443" s="5" t="s">
        <v>1787</v>
      </c>
      <c r="C443" s="5" t="s">
        <v>101</v>
      </c>
      <c r="D443" s="6" t="s">
        <v>2571</v>
      </c>
      <c r="E443" s="6" t="s">
        <v>502</v>
      </c>
      <c r="F443" s="6" t="s">
        <v>810</v>
      </c>
      <c r="G443" s="5" t="s">
        <v>104</v>
      </c>
      <c r="H443" s="5"/>
      <c r="I443" s="5"/>
      <c r="J443" s="54">
        <v>0</v>
      </c>
      <c r="K443" s="6" t="s">
        <v>1439</v>
      </c>
      <c r="L443" s="6" t="s">
        <v>1439</v>
      </c>
      <c r="M443" s="6" t="b">
        <v>0</v>
      </c>
      <c r="N443" s="6" t="s">
        <v>1440</v>
      </c>
      <c r="O443" s="6" t="s">
        <v>2206</v>
      </c>
      <c r="P443" s="6"/>
      <c r="Q443" s="6" t="s">
        <v>2572</v>
      </c>
      <c r="R443" s="6" t="s">
        <v>110</v>
      </c>
      <c r="S443" s="5" t="s">
        <v>3323</v>
      </c>
      <c r="T443" s="10"/>
      <c r="U443" s="6"/>
    </row>
    <row r="444" spans="1:21" x14ac:dyDescent="0.2">
      <c r="A444" s="8">
        <v>4</v>
      </c>
      <c r="B444" s="5" t="s">
        <v>1787</v>
      </c>
      <c r="C444" s="5" t="s">
        <v>101</v>
      </c>
      <c r="D444" s="6" t="s">
        <v>2573</v>
      </c>
      <c r="E444" s="6" t="s">
        <v>2574</v>
      </c>
      <c r="F444" s="6" t="s">
        <v>42</v>
      </c>
      <c r="G444" s="5" t="s">
        <v>104</v>
      </c>
      <c r="H444" s="5"/>
      <c r="I444" s="5"/>
      <c r="J444" s="54">
        <v>0</v>
      </c>
      <c r="K444" s="6" t="s">
        <v>2575</v>
      </c>
      <c r="L444" s="6" t="s">
        <v>2576</v>
      </c>
      <c r="M444" s="6" t="b">
        <v>0</v>
      </c>
      <c r="N444" s="6" t="s">
        <v>805</v>
      </c>
      <c r="O444" s="6" t="s">
        <v>2577</v>
      </c>
      <c r="P444" s="6" t="s">
        <v>38</v>
      </c>
      <c r="Q444" s="6" t="s">
        <v>2578</v>
      </c>
      <c r="R444" s="6" t="s">
        <v>110</v>
      </c>
      <c r="S444" s="5" t="s">
        <v>3323</v>
      </c>
      <c r="T444" s="10"/>
      <c r="U444" s="6"/>
    </row>
    <row r="445" spans="1:21" x14ac:dyDescent="0.2">
      <c r="A445" s="8">
        <v>3.99</v>
      </c>
      <c r="B445" s="5" t="s">
        <v>1787</v>
      </c>
      <c r="C445" s="5" t="s">
        <v>101</v>
      </c>
      <c r="D445" s="6" t="s">
        <v>2579</v>
      </c>
      <c r="E445" s="6" t="s">
        <v>414</v>
      </c>
      <c r="F445" s="6" t="s">
        <v>73</v>
      </c>
      <c r="G445" s="5" t="s">
        <v>104</v>
      </c>
      <c r="H445" s="5"/>
      <c r="I445" s="5"/>
      <c r="J445" s="54">
        <v>0</v>
      </c>
      <c r="K445" s="6" t="s">
        <v>2580</v>
      </c>
      <c r="L445" s="6" t="s">
        <v>2581</v>
      </c>
      <c r="M445" s="6" t="b">
        <v>0</v>
      </c>
      <c r="N445" s="6" t="s">
        <v>2582</v>
      </c>
      <c r="O445" s="6" t="s">
        <v>2583</v>
      </c>
      <c r="P445" s="6" t="s">
        <v>28</v>
      </c>
      <c r="Q445" s="6" t="s">
        <v>1929</v>
      </c>
      <c r="R445" s="6" t="s">
        <v>110</v>
      </c>
      <c r="S445" s="5" t="s">
        <v>3323</v>
      </c>
      <c r="T445" s="10"/>
      <c r="U445" s="6"/>
    </row>
    <row r="446" spans="1:21" x14ac:dyDescent="0.2">
      <c r="A446" s="8">
        <v>3.99</v>
      </c>
      <c r="B446" s="5" t="s">
        <v>1787</v>
      </c>
      <c r="C446" s="5" t="s">
        <v>101</v>
      </c>
      <c r="D446" s="6" t="s">
        <v>2584</v>
      </c>
      <c r="E446" s="6" t="s">
        <v>2585</v>
      </c>
      <c r="F446" s="6" t="s">
        <v>33</v>
      </c>
      <c r="G446" s="5" t="s">
        <v>104</v>
      </c>
      <c r="H446" s="5"/>
      <c r="I446" s="5"/>
      <c r="J446" s="54">
        <v>0</v>
      </c>
      <c r="K446" s="6" t="s">
        <v>2586</v>
      </c>
      <c r="L446" s="6" t="s">
        <v>59</v>
      </c>
      <c r="M446" s="6" t="b">
        <v>0</v>
      </c>
      <c r="N446" s="6" t="s">
        <v>28</v>
      </c>
      <c r="O446" s="6" t="s">
        <v>2587</v>
      </c>
      <c r="P446" s="6" t="s">
        <v>28</v>
      </c>
      <c r="Q446" s="6" t="s">
        <v>2588</v>
      </c>
      <c r="R446" s="6" t="s">
        <v>110</v>
      </c>
      <c r="S446" s="5" t="s">
        <v>3323</v>
      </c>
      <c r="T446" s="10"/>
      <c r="U446" s="6"/>
    </row>
    <row r="447" spans="1:21" x14ac:dyDescent="0.2">
      <c r="A447" s="8">
        <v>3.99</v>
      </c>
      <c r="B447" s="5" t="s">
        <v>1787</v>
      </c>
      <c r="C447" s="5" t="s">
        <v>101</v>
      </c>
      <c r="D447" s="6" t="s">
        <v>2589</v>
      </c>
      <c r="E447" s="6" t="s">
        <v>2590</v>
      </c>
      <c r="F447" s="6" t="s">
        <v>42</v>
      </c>
      <c r="G447" s="5" t="s">
        <v>104</v>
      </c>
      <c r="H447" s="5"/>
      <c r="I447" s="5"/>
      <c r="J447" s="54">
        <v>0</v>
      </c>
      <c r="K447" s="6" t="s">
        <v>1198</v>
      </c>
      <c r="L447" s="6" t="s">
        <v>59</v>
      </c>
      <c r="M447" s="6" t="b">
        <v>0</v>
      </c>
      <c r="N447" s="6" t="s">
        <v>28</v>
      </c>
      <c r="O447" s="6" t="s">
        <v>2591</v>
      </c>
      <c r="P447" s="6" t="s">
        <v>28</v>
      </c>
      <c r="Q447" s="6" t="s">
        <v>2592</v>
      </c>
      <c r="R447" s="6" t="s">
        <v>110</v>
      </c>
      <c r="S447" s="5" t="s">
        <v>3323</v>
      </c>
      <c r="T447" s="10"/>
      <c r="U447" s="6"/>
    </row>
    <row r="448" spans="1:21" hidden="1" x14ac:dyDescent="0.2">
      <c r="A448">
        <v>3.94</v>
      </c>
      <c r="B448" t="s">
        <v>514</v>
      </c>
      <c r="C448" t="s">
        <v>101</v>
      </c>
      <c r="D448" t="s">
        <v>2598</v>
      </c>
      <c r="E448" t="s">
        <v>2599</v>
      </c>
      <c r="F448" t="s">
        <v>427</v>
      </c>
      <c r="G448" t="s">
        <v>104</v>
      </c>
      <c r="H448" s="1">
        <v>46328</v>
      </c>
      <c r="I448">
        <v>80</v>
      </c>
      <c r="J448">
        <v>0</v>
      </c>
      <c r="K448" t="s">
        <v>1834</v>
      </c>
      <c r="L448" t="s">
        <v>2600</v>
      </c>
      <c r="M448" t="b">
        <v>1</v>
      </c>
      <c r="N448" t="s">
        <v>2601</v>
      </c>
      <c r="O448" t="s">
        <v>2602</v>
      </c>
      <c r="P448" t="s">
        <v>2603</v>
      </c>
      <c r="Q448" t="s">
        <v>2604</v>
      </c>
      <c r="R448" t="s">
        <v>110</v>
      </c>
      <c r="S448" t="s">
        <v>3323</v>
      </c>
      <c r="T448" s="2"/>
    </row>
    <row r="449" spans="1:21" hidden="1" x14ac:dyDescent="0.2">
      <c r="A449">
        <v>3.94</v>
      </c>
      <c r="B449" t="s">
        <v>514</v>
      </c>
      <c r="C449" t="s">
        <v>101</v>
      </c>
      <c r="D449" t="s">
        <v>2605</v>
      </c>
      <c r="E449" t="s">
        <v>2606</v>
      </c>
      <c r="F449" t="s">
        <v>290</v>
      </c>
      <c r="G449" t="s">
        <v>104</v>
      </c>
      <c r="J449">
        <v>0</v>
      </c>
      <c r="K449" t="s">
        <v>2607</v>
      </c>
      <c r="L449" t="s">
        <v>2608</v>
      </c>
      <c r="M449" t="b">
        <v>1</v>
      </c>
      <c r="N449" t="s">
        <v>2609</v>
      </c>
      <c r="O449" t="s">
        <v>2610</v>
      </c>
      <c r="P449" t="s">
        <v>2611</v>
      </c>
      <c r="Q449" t="s">
        <v>2612</v>
      </c>
      <c r="R449" t="s">
        <v>110</v>
      </c>
      <c r="S449" t="s">
        <v>3323</v>
      </c>
      <c r="T449" s="2"/>
    </row>
    <row r="450" spans="1:21" hidden="1" x14ac:dyDescent="0.2">
      <c r="A450">
        <v>3.94</v>
      </c>
      <c r="B450" t="s">
        <v>514</v>
      </c>
      <c r="C450" t="s">
        <v>101</v>
      </c>
      <c r="D450" t="s">
        <v>2613</v>
      </c>
      <c r="E450" t="s">
        <v>2009</v>
      </c>
      <c r="F450" t="s">
        <v>810</v>
      </c>
      <c r="G450" t="s">
        <v>104</v>
      </c>
      <c r="J450">
        <v>0</v>
      </c>
      <c r="K450" t="s">
        <v>2614</v>
      </c>
      <c r="L450" t="s">
        <v>2485</v>
      </c>
      <c r="M450" t="b">
        <v>1</v>
      </c>
      <c r="N450" t="s">
        <v>2615</v>
      </c>
      <c r="O450" t="s">
        <v>2616</v>
      </c>
      <c r="P450" t="s">
        <v>2617</v>
      </c>
      <c r="Q450" t="s">
        <v>2618</v>
      </c>
      <c r="R450" t="s">
        <v>110</v>
      </c>
      <c r="S450" t="s">
        <v>3323</v>
      </c>
      <c r="T450" s="2"/>
    </row>
    <row r="451" spans="1:21" hidden="1" x14ac:dyDescent="0.2">
      <c r="A451">
        <v>3.92</v>
      </c>
      <c r="B451" t="s">
        <v>514</v>
      </c>
      <c r="C451" t="s">
        <v>101</v>
      </c>
      <c r="D451" t="s">
        <v>2619</v>
      </c>
      <c r="E451" t="s">
        <v>502</v>
      </c>
      <c r="F451" t="s">
        <v>810</v>
      </c>
      <c r="G451" t="s">
        <v>104</v>
      </c>
      <c r="J451">
        <v>0</v>
      </c>
      <c r="K451" t="s">
        <v>817</v>
      </c>
      <c r="L451" t="s">
        <v>2620</v>
      </c>
      <c r="M451" t="b">
        <v>1</v>
      </c>
      <c r="N451" t="s">
        <v>1364</v>
      </c>
      <c r="O451" t="s">
        <v>2206</v>
      </c>
      <c r="Q451" t="s">
        <v>2621</v>
      </c>
      <c r="R451" t="s">
        <v>110</v>
      </c>
      <c r="S451" t="s">
        <v>3323</v>
      </c>
      <c r="T451" s="2"/>
    </row>
    <row r="452" spans="1:21" x14ac:dyDescent="0.2">
      <c r="A452" s="8">
        <v>3.95</v>
      </c>
      <c r="B452" s="5" t="s">
        <v>1787</v>
      </c>
      <c r="C452" s="5" t="s">
        <v>101</v>
      </c>
      <c r="D452" s="6" t="s">
        <v>2593</v>
      </c>
      <c r="E452" s="6" t="s">
        <v>502</v>
      </c>
      <c r="F452" s="6" t="s">
        <v>427</v>
      </c>
      <c r="G452" s="5" t="s">
        <v>104</v>
      </c>
      <c r="H452" s="5"/>
      <c r="I452" s="5"/>
      <c r="J452" s="54">
        <v>0</v>
      </c>
      <c r="K452" s="6" t="s">
        <v>817</v>
      </c>
      <c r="L452" s="6" t="s">
        <v>2594</v>
      </c>
      <c r="M452" s="6" t="b">
        <v>0</v>
      </c>
      <c r="N452" s="6" t="s">
        <v>2595</v>
      </c>
      <c r="O452" s="6" t="s">
        <v>2596</v>
      </c>
      <c r="P452" s="6"/>
      <c r="Q452" s="6" t="s">
        <v>2597</v>
      </c>
      <c r="R452" s="6" t="s">
        <v>110</v>
      </c>
      <c r="S452" s="5" t="s">
        <v>3323</v>
      </c>
      <c r="T452" s="10"/>
      <c r="U452" s="6"/>
    </row>
    <row r="453" spans="1:21" x14ac:dyDescent="0.2">
      <c r="A453" s="8">
        <v>3.89</v>
      </c>
      <c r="B453" s="5" t="s">
        <v>1787</v>
      </c>
      <c r="C453" s="5" t="s">
        <v>101</v>
      </c>
      <c r="D453" s="6" t="s">
        <v>2627</v>
      </c>
      <c r="E453" s="6" t="s">
        <v>2628</v>
      </c>
      <c r="F453" s="6" t="s">
        <v>427</v>
      </c>
      <c r="G453" s="5" t="s">
        <v>104</v>
      </c>
      <c r="H453" s="5"/>
      <c r="I453" s="5"/>
      <c r="J453" s="54">
        <v>0</v>
      </c>
      <c r="K453" s="6" t="s">
        <v>243</v>
      </c>
      <c r="L453" s="6" t="s">
        <v>59</v>
      </c>
      <c r="M453" s="6" t="b">
        <v>0</v>
      </c>
      <c r="N453" s="6" t="s">
        <v>2629</v>
      </c>
      <c r="O453" s="6" t="s">
        <v>2630</v>
      </c>
      <c r="P453" s="6" t="s">
        <v>28</v>
      </c>
      <c r="Q453" s="6" t="s">
        <v>2631</v>
      </c>
      <c r="R453" s="6" t="s">
        <v>110</v>
      </c>
      <c r="S453" s="5" t="s">
        <v>3323</v>
      </c>
      <c r="T453" s="10"/>
      <c r="U453" s="6"/>
    </row>
    <row r="454" spans="1:21" x14ac:dyDescent="0.2">
      <c r="A454" s="8">
        <v>3.85</v>
      </c>
      <c r="B454" s="5" t="s">
        <v>1787</v>
      </c>
      <c r="C454" s="5" t="s">
        <v>101</v>
      </c>
      <c r="D454" s="6" t="s">
        <v>2632</v>
      </c>
      <c r="E454" s="6" t="s">
        <v>2633</v>
      </c>
      <c r="F454" s="6" t="s">
        <v>42</v>
      </c>
      <c r="G454" s="5" t="s">
        <v>104</v>
      </c>
      <c r="H454" s="5"/>
      <c r="I454" s="5"/>
      <c r="J454" s="54">
        <v>0</v>
      </c>
      <c r="K454" s="6" t="s">
        <v>2634</v>
      </c>
      <c r="L454" s="6" t="s">
        <v>2635</v>
      </c>
      <c r="M454" s="6" t="b">
        <v>0</v>
      </c>
      <c r="N454" s="6" t="s">
        <v>28</v>
      </c>
      <c r="O454" s="6" t="s">
        <v>2636</v>
      </c>
      <c r="P454" s="6" t="s">
        <v>28</v>
      </c>
      <c r="Q454" s="6" t="s">
        <v>2637</v>
      </c>
      <c r="R454" s="6" t="s">
        <v>110</v>
      </c>
      <c r="S454" s="5" t="s">
        <v>3323</v>
      </c>
      <c r="T454" s="10"/>
      <c r="U454" s="6"/>
    </row>
    <row r="455" spans="1:21" hidden="1" x14ac:dyDescent="0.2">
      <c r="A455">
        <v>3.84</v>
      </c>
      <c r="B455" t="s">
        <v>514</v>
      </c>
      <c r="C455" t="s">
        <v>101</v>
      </c>
      <c r="D455" t="s">
        <v>2638</v>
      </c>
      <c r="E455" t="s">
        <v>2470</v>
      </c>
      <c r="F455" t="s">
        <v>22</v>
      </c>
      <c r="G455" t="s">
        <v>104</v>
      </c>
      <c r="J455">
        <v>1000</v>
      </c>
      <c r="K455" t="s">
        <v>2639</v>
      </c>
      <c r="L455" t="s">
        <v>2640</v>
      </c>
      <c r="M455" t="b">
        <v>0</v>
      </c>
      <c r="N455" t="s">
        <v>2641</v>
      </c>
      <c r="O455" t="s">
        <v>2642</v>
      </c>
      <c r="P455" t="s">
        <v>2643</v>
      </c>
      <c r="Q455" t="s">
        <v>2570</v>
      </c>
      <c r="R455" t="s">
        <v>110</v>
      </c>
      <c r="S455" t="s">
        <v>3323</v>
      </c>
      <c r="T455" s="2"/>
    </row>
    <row r="456" spans="1:21" x14ac:dyDescent="0.2">
      <c r="A456" s="8">
        <v>3.84</v>
      </c>
      <c r="B456" s="5" t="s">
        <v>1787</v>
      </c>
      <c r="C456" s="5" t="s">
        <v>101</v>
      </c>
      <c r="D456" s="6" t="s">
        <v>2644</v>
      </c>
      <c r="E456" s="6" t="s">
        <v>2645</v>
      </c>
      <c r="F456" s="6" t="s">
        <v>42</v>
      </c>
      <c r="G456" s="5" t="s">
        <v>104</v>
      </c>
      <c r="H456" s="5"/>
      <c r="I456" s="5"/>
      <c r="J456" s="54">
        <v>0</v>
      </c>
      <c r="K456" s="6" t="s">
        <v>2351</v>
      </c>
      <c r="L456" s="6" t="s">
        <v>2646</v>
      </c>
      <c r="M456" s="6" t="b">
        <v>0</v>
      </c>
      <c r="N456" s="6" t="s">
        <v>28</v>
      </c>
      <c r="O456" s="6" t="s">
        <v>2647</v>
      </c>
      <c r="P456" s="6" t="s">
        <v>28</v>
      </c>
      <c r="Q456" s="6" t="s">
        <v>2648</v>
      </c>
      <c r="R456" s="6" t="s">
        <v>110</v>
      </c>
      <c r="S456" s="5" t="s">
        <v>3323</v>
      </c>
      <c r="T456" s="10"/>
      <c r="U456" s="6"/>
    </row>
    <row r="457" spans="1:21" hidden="1" x14ac:dyDescent="0.2">
      <c r="A457">
        <v>3.82</v>
      </c>
      <c r="B457" t="s">
        <v>514</v>
      </c>
      <c r="C457" t="s">
        <v>101</v>
      </c>
      <c r="D457" t="s">
        <v>2649</v>
      </c>
      <c r="E457" t="s">
        <v>1527</v>
      </c>
      <c r="F457" t="s">
        <v>427</v>
      </c>
      <c r="G457" t="s">
        <v>104</v>
      </c>
      <c r="J457">
        <v>0</v>
      </c>
      <c r="K457" t="s">
        <v>2650</v>
      </c>
      <c r="L457" t="s">
        <v>59</v>
      </c>
      <c r="M457" t="b">
        <v>1</v>
      </c>
      <c r="N457" t="s">
        <v>2651</v>
      </c>
      <c r="O457" t="s">
        <v>1527</v>
      </c>
      <c r="P457" t="s">
        <v>2652</v>
      </c>
      <c r="Q457" t="s">
        <v>2438</v>
      </c>
      <c r="R457" t="s">
        <v>110</v>
      </c>
      <c r="S457" t="s">
        <v>3323</v>
      </c>
      <c r="T457" s="2"/>
    </row>
    <row r="458" spans="1:21" hidden="1" x14ac:dyDescent="0.2">
      <c r="A458">
        <v>3.81</v>
      </c>
      <c r="B458" t="s">
        <v>514</v>
      </c>
      <c r="C458" t="s">
        <v>101</v>
      </c>
      <c r="D458" t="s">
        <v>2653</v>
      </c>
      <c r="E458" t="s">
        <v>2654</v>
      </c>
      <c r="F458" t="s">
        <v>33</v>
      </c>
      <c r="G458" t="s">
        <v>104</v>
      </c>
      <c r="J458">
        <v>0</v>
      </c>
      <c r="K458" t="s">
        <v>2655</v>
      </c>
      <c r="L458" t="s">
        <v>2656</v>
      </c>
      <c r="M458" t="b">
        <v>1</v>
      </c>
      <c r="N458" t="s">
        <v>1364</v>
      </c>
      <c r="O458" t="s">
        <v>2657</v>
      </c>
      <c r="P458" t="s">
        <v>2658</v>
      </c>
      <c r="Q458" t="s">
        <v>2659</v>
      </c>
      <c r="R458" t="s">
        <v>110</v>
      </c>
      <c r="S458" t="s">
        <v>3323</v>
      </c>
      <c r="T458" s="2"/>
    </row>
    <row r="459" spans="1:21" x14ac:dyDescent="0.2">
      <c r="A459" s="8">
        <v>3.8</v>
      </c>
      <c r="B459" s="5" t="s">
        <v>1787</v>
      </c>
      <c r="C459" s="5" t="s">
        <v>101</v>
      </c>
      <c r="D459" s="6" t="s">
        <v>2660</v>
      </c>
      <c r="E459" s="6" t="s">
        <v>2661</v>
      </c>
      <c r="F459" s="6" t="s">
        <v>73</v>
      </c>
      <c r="G459" s="5" t="s">
        <v>104</v>
      </c>
      <c r="H459" s="5"/>
      <c r="I459" s="5"/>
      <c r="J459" s="54">
        <v>0</v>
      </c>
      <c r="K459" s="6" t="s">
        <v>1198</v>
      </c>
      <c r="L459" s="6" t="s">
        <v>2662</v>
      </c>
      <c r="M459" s="6" t="b">
        <v>0</v>
      </c>
      <c r="N459" s="6" t="s">
        <v>2663</v>
      </c>
      <c r="O459" s="6" t="s">
        <v>2664</v>
      </c>
      <c r="P459" s="6" t="s">
        <v>38</v>
      </c>
      <c r="Q459" s="6" t="s">
        <v>2665</v>
      </c>
      <c r="R459" s="6" t="s">
        <v>110</v>
      </c>
      <c r="S459" s="5" t="s">
        <v>3323</v>
      </c>
      <c r="T459" s="10"/>
      <c r="U459" s="6"/>
    </row>
    <row r="460" spans="1:21" hidden="1" x14ac:dyDescent="0.2">
      <c r="A460">
        <v>3.78</v>
      </c>
      <c r="B460" t="s">
        <v>514</v>
      </c>
      <c r="C460" t="s">
        <v>101</v>
      </c>
      <c r="D460" t="s">
        <v>2666</v>
      </c>
      <c r="E460" t="s">
        <v>2667</v>
      </c>
      <c r="F460" t="s">
        <v>42</v>
      </c>
      <c r="G460" t="s">
        <v>104</v>
      </c>
      <c r="J460">
        <v>0</v>
      </c>
      <c r="K460" t="s">
        <v>2668</v>
      </c>
      <c r="L460" t="s">
        <v>525</v>
      </c>
      <c r="M460" t="b">
        <v>0</v>
      </c>
      <c r="N460" t="s">
        <v>2669</v>
      </c>
      <c r="O460" t="s">
        <v>2670</v>
      </c>
      <c r="P460" t="s">
        <v>2671</v>
      </c>
      <c r="Q460" t="s">
        <v>2672</v>
      </c>
      <c r="R460" t="s">
        <v>110</v>
      </c>
      <c r="S460" t="s">
        <v>3323</v>
      </c>
      <c r="T460" s="2"/>
    </row>
    <row r="461" spans="1:21" hidden="1" x14ac:dyDescent="0.2">
      <c r="A461">
        <v>3.77</v>
      </c>
      <c r="B461" t="s">
        <v>514</v>
      </c>
      <c r="C461" t="s">
        <v>101</v>
      </c>
      <c r="D461" t="s">
        <v>2673</v>
      </c>
      <c r="E461" t="s">
        <v>2674</v>
      </c>
      <c r="F461" t="s">
        <v>427</v>
      </c>
      <c r="G461" t="s">
        <v>104</v>
      </c>
      <c r="J461">
        <v>0</v>
      </c>
      <c r="K461" t="s">
        <v>2675</v>
      </c>
      <c r="L461" t="s">
        <v>2485</v>
      </c>
      <c r="M461" t="b">
        <v>1</v>
      </c>
      <c r="N461" t="s">
        <v>2676</v>
      </c>
      <c r="O461" t="s">
        <v>2677</v>
      </c>
      <c r="P461" t="s">
        <v>2678</v>
      </c>
      <c r="Q461" t="s">
        <v>2679</v>
      </c>
      <c r="R461" t="s">
        <v>110</v>
      </c>
      <c r="S461" t="s">
        <v>3323</v>
      </c>
      <c r="T461" s="2"/>
    </row>
    <row r="462" spans="1:21" x14ac:dyDescent="0.2">
      <c r="A462" s="8">
        <v>3.77</v>
      </c>
      <c r="B462" s="5" t="s">
        <v>1787</v>
      </c>
      <c r="C462" s="5" t="s">
        <v>101</v>
      </c>
      <c r="D462" s="6" t="s">
        <v>2680</v>
      </c>
      <c r="E462" s="6" t="s">
        <v>1030</v>
      </c>
      <c r="F462" s="6" t="s">
        <v>33</v>
      </c>
      <c r="G462" s="5" t="s">
        <v>104</v>
      </c>
      <c r="H462" s="5"/>
      <c r="I462" s="5"/>
      <c r="J462" s="54">
        <v>0</v>
      </c>
      <c r="K462" s="6" t="s">
        <v>2681</v>
      </c>
      <c r="L462" s="6" t="s">
        <v>2682</v>
      </c>
      <c r="M462" s="6" t="b">
        <v>0</v>
      </c>
      <c r="N462" s="6" t="s">
        <v>28</v>
      </c>
      <c r="O462" s="6" t="s">
        <v>2683</v>
      </c>
      <c r="P462" s="6" t="s">
        <v>28</v>
      </c>
      <c r="Q462" s="6" t="s">
        <v>55</v>
      </c>
      <c r="R462" s="6" t="s">
        <v>110</v>
      </c>
      <c r="S462" s="5" t="s">
        <v>3323</v>
      </c>
      <c r="T462" s="10"/>
      <c r="U462" s="6"/>
    </row>
    <row r="463" spans="1:21" hidden="1" x14ac:dyDescent="0.2">
      <c r="A463">
        <v>3.75</v>
      </c>
      <c r="B463" t="s">
        <v>514</v>
      </c>
      <c r="C463" t="s">
        <v>101</v>
      </c>
      <c r="D463" t="s">
        <v>2684</v>
      </c>
      <c r="E463" t="s">
        <v>502</v>
      </c>
      <c r="F463" t="s">
        <v>427</v>
      </c>
      <c r="G463" t="s">
        <v>104</v>
      </c>
      <c r="J463">
        <v>0</v>
      </c>
      <c r="K463" t="s">
        <v>2204</v>
      </c>
      <c r="L463" t="s">
        <v>2685</v>
      </c>
      <c r="M463" t="b">
        <v>0</v>
      </c>
      <c r="N463" t="s">
        <v>1364</v>
      </c>
      <c r="O463" t="s">
        <v>2686</v>
      </c>
      <c r="P463" t="s">
        <v>2687</v>
      </c>
      <c r="Q463" t="s">
        <v>2688</v>
      </c>
      <c r="R463" t="s">
        <v>110</v>
      </c>
      <c r="S463" t="s">
        <v>3323</v>
      </c>
      <c r="T463" s="2"/>
    </row>
    <row r="464" spans="1:21" hidden="1" x14ac:dyDescent="0.2">
      <c r="A464">
        <v>3.74</v>
      </c>
      <c r="B464" t="s">
        <v>514</v>
      </c>
      <c r="C464" t="s">
        <v>863</v>
      </c>
      <c r="D464" t="s">
        <v>2689</v>
      </c>
      <c r="E464" t="s">
        <v>1619</v>
      </c>
      <c r="F464" t="s">
        <v>33</v>
      </c>
      <c r="G464" t="s">
        <v>23</v>
      </c>
      <c r="J464">
        <v>0</v>
      </c>
      <c r="K464" t="s">
        <v>2690</v>
      </c>
      <c r="L464" t="s">
        <v>2691</v>
      </c>
      <c r="M464" t="b">
        <v>1</v>
      </c>
      <c r="N464" t="s">
        <v>2692</v>
      </c>
      <c r="O464" t="s">
        <v>2693</v>
      </c>
      <c r="P464" t="s">
        <v>2694</v>
      </c>
      <c r="Q464" t="s">
        <v>2695</v>
      </c>
      <c r="R464" t="s">
        <v>871</v>
      </c>
      <c r="S464" t="s">
        <v>3323</v>
      </c>
      <c r="T464" s="2"/>
    </row>
    <row r="465" spans="1:21" hidden="1" x14ac:dyDescent="0.2">
      <c r="A465">
        <v>3.74</v>
      </c>
      <c r="B465" t="s">
        <v>514</v>
      </c>
      <c r="C465" t="s">
        <v>101</v>
      </c>
      <c r="D465" t="s">
        <v>2696</v>
      </c>
      <c r="E465" t="s">
        <v>2697</v>
      </c>
      <c r="F465" t="s">
        <v>33</v>
      </c>
      <c r="G465" t="s">
        <v>104</v>
      </c>
      <c r="J465">
        <v>0</v>
      </c>
      <c r="K465" t="s">
        <v>2698</v>
      </c>
      <c r="L465" t="s">
        <v>59</v>
      </c>
      <c r="M465" t="b">
        <v>0</v>
      </c>
      <c r="N465" t="s">
        <v>2699</v>
      </c>
      <c r="O465" t="s">
        <v>2700</v>
      </c>
      <c r="P465" t="s">
        <v>2701</v>
      </c>
      <c r="Q465" t="s">
        <v>2702</v>
      </c>
      <c r="R465" t="s">
        <v>110</v>
      </c>
      <c r="S465" t="s">
        <v>3323</v>
      </c>
      <c r="T465" s="2"/>
    </row>
    <row r="466" spans="1:21" hidden="1" x14ac:dyDescent="0.2">
      <c r="A466">
        <v>3.73</v>
      </c>
      <c r="B466" t="s">
        <v>514</v>
      </c>
      <c r="C466" t="s">
        <v>101</v>
      </c>
      <c r="D466" t="s">
        <v>2703</v>
      </c>
      <c r="E466" t="s">
        <v>2704</v>
      </c>
      <c r="F466" t="s">
        <v>22</v>
      </c>
      <c r="G466" t="s">
        <v>104</v>
      </c>
      <c r="J466">
        <v>0</v>
      </c>
      <c r="K466" t="s">
        <v>2705</v>
      </c>
      <c r="L466" t="s">
        <v>1810</v>
      </c>
      <c r="M466" t="b">
        <v>1</v>
      </c>
      <c r="N466" t="s">
        <v>2706</v>
      </c>
      <c r="O466" t="s">
        <v>2707</v>
      </c>
      <c r="P466" t="s">
        <v>2708</v>
      </c>
      <c r="Q466" t="s">
        <v>2709</v>
      </c>
      <c r="R466" t="s">
        <v>110</v>
      </c>
      <c r="S466" t="s">
        <v>3323</v>
      </c>
      <c r="T466" s="2"/>
    </row>
    <row r="467" spans="1:21" hidden="1" x14ac:dyDescent="0.2">
      <c r="A467">
        <v>3.71</v>
      </c>
      <c r="B467" t="s">
        <v>514</v>
      </c>
      <c r="C467" t="s">
        <v>101</v>
      </c>
      <c r="D467" t="s">
        <v>2710</v>
      </c>
      <c r="E467" t="s">
        <v>1655</v>
      </c>
      <c r="F467" t="s">
        <v>427</v>
      </c>
      <c r="G467" t="s">
        <v>104</v>
      </c>
      <c r="J467">
        <v>0</v>
      </c>
      <c r="K467" t="s">
        <v>2711</v>
      </c>
      <c r="L467" t="s">
        <v>2417</v>
      </c>
      <c r="M467" t="b">
        <v>1</v>
      </c>
      <c r="N467" t="s">
        <v>2712</v>
      </c>
      <c r="O467" t="s">
        <v>1655</v>
      </c>
      <c r="P467" t="s">
        <v>2713</v>
      </c>
      <c r="Q467" t="s">
        <v>2714</v>
      </c>
      <c r="R467" t="s">
        <v>110</v>
      </c>
      <c r="S467" t="s">
        <v>3323</v>
      </c>
      <c r="T467" s="2"/>
    </row>
    <row r="468" spans="1:21" hidden="1" x14ac:dyDescent="0.2">
      <c r="A468">
        <v>3.69</v>
      </c>
      <c r="B468" t="s">
        <v>514</v>
      </c>
      <c r="C468" t="s">
        <v>101</v>
      </c>
      <c r="D468" t="s">
        <v>2715</v>
      </c>
      <c r="E468" t="s">
        <v>103</v>
      </c>
      <c r="F468" t="s">
        <v>290</v>
      </c>
      <c r="G468" t="s">
        <v>104</v>
      </c>
      <c r="J468">
        <v>0</v>
      </c>
      <c r="K468" t="s">
        <v>291</v>
      </c>
      <c r="L468" t="s">
        <v>2716</v>
      </c>
      <c r="M468" t="b">
        <v>1</v>
      </c>
      <c r="N468" t="s">
        <v>1181</v>
      </c>
      <c r="O468" t="s">
        <v>1594</v>
      </c>
      <c r="P468" t="s">
        <v>2717</v>
      </c>
      <c r="Q468" t="s">
        <v>2718</v>
      </c>
      <c r="R468" t="s">
        <v>110</v>
      </c>
      <c r="S468" t="s">
        <v>3323</v>
      </c>
      <c r="T468" s="2"/>
    </row>
    <row r="469" spans="1:21" hidden="1" x14ac:dyDescent="0.2">
      <c r="A469">
        <v>3.62</v>
      </c>
      <c r="B469" t="s">
        <v>514</v>
      </c>
      <c r="C469" t="s">
        <v>101</v>
      </c>
      <c r="D469" t="s">
        <v>2719</v>
      </c>
      <c r="E469" t="s">
        <v>2720</v>
      </c>
      <c r="F469" t="s">
        <v>427</v>
      </c>
      <c r="G469" t="s">
        <v>104</v>
      </c>
      <c r="H469" s="1">
        <v>46103</v>
      </c>
      <c r="I469">
        <v>-145</v>
      </c>
      <c r="J469">
        <v>0</v>
      </c>
      <c r="K469" t="s">
        <v>2037</v>
      </c>
      <c r="L469" t="s">
        <v>2721</v>
      </c>
      <c r="M469" t="b">
        <v>0</v>
      </c>
      <c r="N469" t="s">
        <v>1364</v>
      </c>
      <c r="O469" t="s">
        <v>2722</v>
      </c>
      <c r="P469" t="s">
        <v>2723</v>
      </c>
      <c r="Q469" t="s">
        <v>2724</v>
      </c>
      <c r="R469" t="s">
        <v>110</v>
      </c>
      <c r="S469" t="s">
        <v>3323</v>
      </c>
      <c r="T469" s="2"/>
    </row>
    <row r="470" spans="1:21" hidden="1" x14ac:dyDescent="0.2">
      <c r="A470">
        <v>3.62</v>
      </c>
      <c r="B470" t="s">
        <v>514</v>
      </c>
      <c r="C470" t="s">
        <v>101</v>
      </c>
      <c r="D470" t="s">
        <v>2725</v>
      </c>
      <c r="E470" t="s">
        <v>2509</v>
      </c>
      <c r="F470" t="s">
        <v>427</v>
      </c>
      <c r="G470" t="s">
        <v>104</v>
      </c>
      <c r="J470">
        <v>0</v>
      </c>
      <c r="K470" t="s">
        <v>291</v>
      </c>
      <c r="L470" t="s">
        <v>59</v>
      </c>
      <c r="M470" t="b">
        <v>0</v>
      </c>
      <c r="N470" t="s">
        <v>28</v>
      </c>
      <c r="O470" t="s">
        <v>2509</v>
      </c>
      <c r="P470" t="s">
        <v>2726</v>
      </c>
      <c r="Q470" t="s">
        <v>2727</v>
      </c>
      <c r="R470" t="s">
        <v>110</v>
      </c>
      <c r="S470" t="s">
        <v>3323</v>
      </c>
      <c r="T470" s="2"/>
    </row>
    <row r="471" spans="1:21" hidden="1" x14ac:dyDescent="0.2">
      <c r="A471">
        <v>3.61</v>
      </c>
      <c r="B471" t="s">
        <v>514</v>
      </c>
      <c r="C471" t="s">
        <v>101</v>
      </c>
      <c r="D471" t="s">
        <v>2728</v>
      </c>
      <c r="E471" t="s">
        <v>2704</v>
      </c>
      <c r="F471" t="s">
        <v>22</v>
      </c>
      <c r="G471" t="s">
        <v>104</v>
      </c>
      <c r="H471" s="1">
        <v>46296</v>
      </c>
      <c r="I471">
        <v>48</v>
      </c>
      <c r="J471">
        <v>0</v>
      </c>
      <c r="K471" t="s">
        <v>2729</v>
      </c>
      <c r="L471" t="s">
        <v>2730</v>
      </c>
      <c r="M471" t="b">
        <v>1</v>
      </c>
      <c r="N471" t="s">
        <v>2731</v>
      </c>
      <c r="O471" t="s">
        <v>2732</v>
      </c>
      <c r="P471" t="s">
        <v>2733</v>
      </c>
      <c r="Q471" t="s">
        <v>2734</v>
      </c>
      <c r="R471" t="s">
        <v>110</v>
      </c>
      <c r="S471" t="s">
        <v>3323</v>
      </c>
      <c r="T471" s="2"/>
    </row>
    <row r="472" spans="1:21" hidden="1" x14ac:dyDescent="0.2">
      <c r="A472">
        <v>3.61</v>
      </c>
      <c r="B472" t="s">
        <v>514</v>
      </c>
      <c r="C472" t="s">
        <v>101</v>
      </c>
      <c r="D472" t="s">
        <v>2735</v>
      </c>
      <c r="E472" t="s">
        <v>1729</v>
      </c>
      <c r="F472" t="s">
        <v>427</v>
      </c>
      <c r="G472" t="s">
        <v>104</v>
      </c>
      <c r="J472">
        <v>0</v>
      </c>
      <c r="K472" t="s">
        <v>2204</v>
      </c>
      <c r="L472" t="s">
        <v>1545</v>
      </c>
      <c r="M472" t="b">
        <v>1</v>
      </c>
      <c r="N472" t="s">
        <v>1545</v>
      </c>
      <c r="O472" t="s">
        <v>2736</v>
      </c>
      <c r="P472" t="s">
        <v>2737</v>
      </c>
      <c r="Q472" t="s">
        <v>2738</v>
      </c>
      <c r="R472" t="s">
        <v>110</v>
      </c>
      <c r="S472" t="s">
        <v>3323</v>
      </c>
      <c r="T472" s="2"/>
    </row>
    <row r="473" spans="1:21" hidden="1" x14ac:dyDescent="0.2">
      <c r="A473">
        <v>3.59</v>
      </c>
      <c r="B473" t="s">
        <v>514</v>
      </c>
      <c r="C473" t="s">
        <v>863</v>
      </c>
      <c r="D473" t="s">
        <v>2739</v>
      </c>
      <c r="E473" t="s">
        <v>2466</v>
      </c>
      <c r="F473" t="s">
        <v>22</v>
      </c>
      <c r="G473" t="s">
        <v>23</v>
      </c>
      <c r="J473">
        <v>1000</v>
      </c>
      <c r="K473" t="s">
        <v>2740</v>
      </c>
      <c r="L473" t="s">
        <v>2741</v>
      </c>
      <c r="M473" t="b">
        <v>0</v>
      </c>
      <c r="N473" t="s">
        <v>2742</v>
      </c>
      <c r="O473" t="s">
        <v>2743</v>
      </c>
      <c r="P473" t="s">
        <v>2744</v>
      </c>
      <c r="Q473" t="s">
        <v>2570</v>
      </c>
      <c r="R473" t="s">
        <v>871</v>
      </c>
      <c r="S473" t="s">
        <v>3323</v>
      </c>
      <c r="T473" s="2"/>
    </row>
    <row r="474" spans="1:21" hidden="1" x14ac:dyDescent="0.2">
      <c r="A474">
        <v>3.59</v>
      </c>
      <c r="B474" t="s">
        <v>514</v>
      </c>
      <c r="C474" t="s">
        <v>101</v>
      </c>
      <c r="D474" t="s">
        <v>2745</v>
      </c>
      <c r="E474" t="s">
        <v>2654</v>
      </c>
      <c r="F474" t="s">
        <v>22</v>
      </c>
      <c r="G474" t="s">
        <v>104</v>
      </c>
      <c r="H474" s="1">
        <v>45890</v>
      </c>
      <c r="I474">
        <v>-358</v>
      </c>
      <c r="J474">
        <v>0</v>
      </c>
      <c r="K474" t="s">
        <v>135</v>
      </c>
      <c r="L474" t="s">
        <v>2746</v>
      </c>
      <c r="M474" t="b">
        <v>1</v>
      </c>
      <c r="N474" t="s">
        <v>1364</v>
      </c>
      <c r="O474" t="s">
        <v>2747</v>
      </c>
      <c r="P474" t="s">
        <v>2748</v>
      </c>
      <c r="Q474" t="s">
        <v>2749</v>
      </c>
      <c r="R474" t="s">
        <v>110</v>
      </c>
      <c r="S474" t="s">
        <v>3323</v>
      </c>
      <c r="T474" s="2"/>
    </row>
    <row r="475" spans="1:21" hidden="1" x14ac:dyDescent="0.2">
      <c r="A475">
        <v>3.59</v>
      </c>
      <c r="B475" t="s">
        <v>514</v>
      </c>
      <c r="C475" t="s">
        <v>101</v>
      </c>
      <c r="D475" t="s">
        <v>2750</v>
      </c>
      <c r="E475" t="s">
        <v>2751</v>
      </c>
      <c r="F475" t="s">
        <v>42</v>
      </c>
      <c r="G475" t="s">
        <v>104</v>
      </c>
      <c r="H475" s="1">
        <v>46159</v>
      </c>
      <c r="I475">
        <v>-89</v>
      </c>
      <c r="J475">
        <v>0</v>
      </c>
      <c r="K475" t="s">
        <v>2752</v>
      </c>
      <c r="L475" t="s">
        <v>2753</v>
      </c>
      <c r="M475" t="b">
        <v>0</v>
      </c>
      <c r="N475" t="s">
        <v>2754</v>
      </c>
      <c r="O475" t="s">
        <v>2755</v>
      </c>
      <c r="P475" t="s">
        <v>2756</v>
      </c>
      <c r="Q475" t="s">
        <v>2757</v>
      </c>
      <c r="R475" t="s">
        <v>110</v>
      </c>
      <c r="S475" t="s">
        <v>3323</v>
      </c>
      <c r="T475" s="2"/>
    </row>
    <row r="476" spans="1:21" hidden="1" x14ac:dyDescent="0.2">
      <c r="A476">
        <v>3.56</v>
      </c>
      <c r="B476" t="s">
        <v>514</v>
      </c>
      <c r="C476" t="s">
        <v>101</v>
      </c>
      <c r="D476" t="s">
        <v>2758</v>
      </c>
      <c r="E476" t="s">
        <v>2759</v>
      </c>
      <c r="F476" t="s">
        <v>120</v>
      </c>
      <c r="G476" t="s">
        <v>104</v>
      </c>
      <c r="J476">
        <v>25000</v>
      </c>
      <c r="K476" t="s">
        <v>2760</v>
      </c>
      <c r="L476" t="s">
        <v>2761</v>
      </c>
      <c r="M476" t="b">
        <v>0</v>
      </c>
      <c r="N476" t="s">
        <v>2494</v>
      </c>
      <c r="O476" t="s">
        <v>2762</v>
      </c>
      <c r="P476" t="s">
        <v>2763</v>
      </c>
      <c r="Q476" t="s">
        <v>2764</v>
      </c>
      <c r="R476" t="s">
        <v>110</v>
      </c>
      <c r="S476" t="s">
        <v>3323</v>
      </c>
      <c r="T476" s="2"/>
    </row>
    <row r="477" spans="1:21" x14ac:dyDescent="0.2">
      <c r="A477" s="8">
        <v>3.56</v>
      </c>
      <c r="B477" s="5" t="s">
        <v>1787</v>
      </c>
      <c r="C477" s="5" t="s">
        <v>101</v>
      </c>
      <c r="D477" s="6" t="s">
        <v>2765</v>
      </c>
      <c r="E477" s="6" t="s">
        <v>2142</v>
      </c>
      <c r="F477" s="6" t="s">
        <v>42</v>
      </c>
      <c r="G477" s="5" t="s">
        <v>104</v>
      </c>
      <c r="H477" s="5"/>
      <c r="I477" s="5"/>
      <c r="J477" s="54">
        <v>0</v>
      </c>
      <c r="K477" s="6" t="s">
        <v>2766</v>
      </c>
      <c r="L477" s="6" t="s">
        <v>1992</v>
      </c>
      <c r="M477" s="6" t="b">
        <v>0</v>
      </c>
      <c r="N477" s="6" t="s">
        <v>2767</v>
      </c>
      <c r="O477" s="6" t="s">
        <v>2768</v>
      </c>
      <c r="P477" s="6" t="s">
        <v>28</v>
      </c>
      <c r="Q477" s="6" t="s">
        <v>2769</v>
      </c>
      <c r="R477" s="6" t="s">
        <v>110</v>
      </c>
      <c r="S477" s="5" t="s">
        <v>3323</v>
      </c>
      <c r="T477" s="10"/>
      <c r="U477" s="6"/>
    </row>
    <row r="478" spans="1:21" x14ac:dyDescent="0.2">
      <c r="A478" s="8">
        <v>3.56</v>
      </c>
      <c r="B478" s="5" t="s">
        <v>1787</v>
      </c>
      <c r="C478" s="5" t="s">
        <v>101</v>
      </c>
      <c r="D478" s="6" t="s">
        <v>2770</v>
      </c>
      <c r="E478" s="6" t="s">
        <v>2771</v>
      </c>
      <c r="F478" s="6" t="s">
        <v>42</v>
      </c>
      <c r="G478" s="5" t="s">
        <v>104</v>
      </c>
      <c r="H478" s="5"/>
      <c r="I478" s="5"/>
      <c r="J478" s="54">
        <v>0</v>
      </c>
      <c r="K478" s="6" t="s">
        <v>1198</v>
      </c>
      <c r="L478" s="6" t="s">
        <v>59</v>
      </c>
      <c r="M478" s="6" t="b">
        <v>0</v>
      </c>
      <c r="N478" s="6" t="s">
        <v>28</v>
      </c>
      <c r="O478" s="6" t="s">
        <v>2772</v>
      </c>
      <c r="P478" s="6" t="s">
        <v>28</v>
      </c>
      <c r="Q478" s="6" t="s">
        <v>2773</v>
      </c>
      <c r="R478" s="6" t="s">
        <v>110</v>
      </c>
      <c r="S478" s="5" t="s">
        <v>3323</v>
      </c>
      <c r="T478" s="10"/>
      <c r="U478" s="6"/>
    </row>
    <row r="479" spans="1:21" hidden="1" x14ac:dyDescent="0.2">
      <c r="A479">
        <v>3.51</v>
      </c>
      <c r="B479" t="s">
        <v>514</v>
      </c>
      <c r="C479" t="s">
        <v>101</v>
      </c>
      <c r="D479" t="s">
        <v>2774</v>
      </c>
      <c r="E479" t="s">
        <v>2775</v>
      </c>
      <c r="F479" t="s">
        <v>22</v>
      </c>
      <c r="G479" t="s">
        <v>104</v>
      </c>
      <c r="J479">
        <v>0</v>
      </c>
      <c r="K479" t="s">
        <v>2776</v>
      </c>
      <c r="L479" t="s">
        <v>2777</v>
      </c>
      <c r="M479" t="b">
        <v>1</v>
      </c>
      <c r="N479" t="s">
        <v>2778</v>
      </c>
      <c r="O479" t="s">
        <v>2779</v>
      </c>
      <c r="P479" t="s">
        <v>2780</v>
      </c>
      <c r="Q479" t="s">
        <v>2781</v>
      </c>
      <c r="R479" t="s">
        <v>110</v>
      </c>
      <c r="S479" t="s">
        <v>3323</v>
      </c>
      <c r="T479" s="2"/>
    </row>
    <row r="480" spans="1:21" hidden="1" x14ac:dyDescent="0.2">
      <c r="A480">
        <v>3.5</v>
      </c>
      <c r="B480" t="s">
        <v>514</v>
      </c>
      <c r="C480" t="s">
        <v>101</v>
      </c>
      <c r="D480" t="s">
        <v>2782</v>
      </c>
      <c r="E480" t="s">
        <v>2009</v>
      </c>
      <c r="F480" t="s">
        <v>427</v>
      </c>
      <c r="G480" t="s">
        <v>104</v>
      </c>
      <c r="J480">
        <v>0</v>
      </c>
      <c r="K480" t="s">
        <v>2204</v>
      </c>
      <c r="L480" t="s">
        <v>2485</v>
      </c>
      <c r="M480" t="b">
        <v>1</v>
      </c>
      <c r="N480" t="s">
        <v>2783</v>
      </c>
      <c r="O480" t="s">
        <v>2784</v>
      </c>
      <c r="P480" t="s">
        <v>2785</v>
      </c>
      <c r="Q480" t="s">
        <v>2786</v>
      </c>
      <c r="R480" t="s">
        <v>110</v>
      </c>
      <c r="S480" t="s">
        <v>3323</v>
      </c>
      <c r="T480" s="2"/>
    </row>
    <row r="481" spans="1:20" hidden="1" x14ac:dyDescent="0.2">
      <c r="A481">
        <v>3.48</v>
      </c>
      <c r="B481" t="s">
        <v>514</v>
      </c>
      <c r="C481" t="s">
        <v>101</v>
      </c>
      <c r="D481" t="s">
        <v>2787</v>
      </c>
      <c r="E481" t="s">
        <v>2788</v>
      </c>
      <c r="F481" t="s">
        <v>33</v>
      </c>
      <c r="G481" t="s">
        <v>104</v>
      </c>
      <c r="J481">
        <v>0</v>
      </c>
      <c r="K481" t="s">
        <v>2789</v>
      </c>
      <c r="L481" t="s">
        <v>59</v>
      </c>
      <c r="M481" t="b">
        <v>1</v>
      </c>
      <c r="N481" t="s">
        <v>28</v>
      </c>
      <c r="O481" t="s">
        <v>2790</v>
      </c>
      <c r="P481" t="s">
        <v>2791</v>
      </c>
      <c r="Q481" t="s">
        <v>2792</v>
      </c>
      <c r="R481" t="s">
        <v>110</v>
      </c>
      <c r="S481" t="s">
        <v>3323</v>
      </c>
      <c r="T481" s="2"/>
    </row>
    <row r="482" spans="1:20" hidden="1" x14ac:dyDescent="0.2">
      <c r="A482">
        <v>3.41</v>
      </c>
      <c r="B482" t="s">
        <v>514</v>
      </c>
      <c r="C482" t="s">
        <v>101</v>
      </c>
      <c r="D482" t="s">
        <v>2793</v>
      </c>
      <c r="E482" t="s">
        <v>2794</v>
      </c>
      <c r="F482" t="s">
        <v>290</v>
      </c>
      <c r="G482" t="s">
        <v>104</v>
      </c>
      <c r="H482" s="1">
        <v>46360</v>
      </c>
      <c r="I482">
        <v>112</v>
      </c>
      <c r="J482">
        <v>0</v>
      </c>
      <c r="K482" t="s">
        <v>2795</v>
      </c>
      <c r="L482" t="s">
        <v>1810</v>
      </c>
      <c r="M482" t="b">
        <v>1</v>
      </c>
      <c r="N482" t="s">
        <v>2796</v>
      </c>
      <c r="O482" t="s">
        <v>2797</v>
      </c>
      <c r="P482" t="s">
        <v>2798</v>
      </c>
      <c r="Q482" t="s">
        <v>2799</v>
      </c>
      <c r="R482" t="s">
        <v>110</v>
      </c>
      <c r="S482" t="s">
        <v>3323</v>
      </c>
      <c r="T482" s="2"/>
    </row>
    <row r="483" spans="1:20" hidden="1" x14ac:dyDescent="0.2">
      <c r="A483">
        <v>3.3</v>
      </c>
      <c r="B483" t="s">
        <v>514</v>
      </c>
      <c r="C483" t="s">
        <v>101</v>
      </c>
      <c r="D483" t="s">
        <v>2800</v>
      </c>
      <c r="E483" t="s">
        <v>502</v>
      </c>
      <c r="F483" t="s">
        <v>810</v>
      </c>
      <c r="G483" t="s">
        <v>104</v>
      </c>
      <c r="J483">
        <v>0</v>
      </c>
      <c r="K483" t="s">
        <v>1439</v>
      </c>
      <c r="L483" t="s">
        <v>525</v>
      </c>
      <c r="M483" t="b">
        <v>0</v>
      </c>
      <c r="N483" t="s">
        <v>2801</v>
      </c>
      <c r="O483" t="s">
        <v>2206</v>
      </c>
      <c r="P483" t="s">
        <v>2802</v>
      </c>
      <c r="Q483" t="s">
        <v>2803</v>
      </c>
      <c r="R483" t="s">
        <v>110</v>
      </c>
      <c r="S483" t="s">
        <v>3323</v>
      </c>
      <c r="T483" s="2"/>
    </row>
    <row r="484" spans="1:20" hidden="1" x14ac:dyDescent="0.2">
      <c r="A484">
        <v>3.28</v>
      </c>
      <c r="B484" t="s">
        <v>514</v>
      </c>
      <c r="C484" t="s">
        <v>101</v>
      </c>
      <c r="D484" t="s">
        <v>2804</v>
      </c>
      <c r="E484" t="s">
        <v>2009</v>
      </c>
      <c r="F484" t="s">
        <v>22</v>
      </c>
      <c r="G484" t="s">
        <v>104</v>
      </c>
      <c r="H484" s="1">
        <v>46154</v>
      </c>
      <c r="I484">
        <v>-94</v>
      </c>
      <c r="J484">
        <v>0</v>
      </c>
      <c r="K484" t="s">
        <v>2010</v>
      </c>
      <c r="L484" t="s">
        <v>2805</v>
      </c>
      <c r="M484" t="b">
        <v>1</v>
      </c>
      <c r="N484" t="s">
        <v>2806</v>
      </c>
      <c r="O484" t="s">
        <v>2807</v>
      </c>
      <c r="P484" t="s">
        <v>2808</v>
      </c>
      <c r="Q484" t="s">
        <v>2809</v>
      </c>
      <c r="R484" t="s">
        <v>110</v>
      </c>
      <c r="S484" t="s">
        <v>3323</v>
      </c>
      <c r="T484" s="2"/>
    </row>
    <row r="485" spans="1:20" hidden="1" x14ac:dyDescent="0.2">
      <c r="A485">
        <v>3.22</v>
      </c>
      <c r="B485" t="s">
        <v>514</v>
      </c>
      <c r="C485" t="s">
        <v>101</v>
      </c>
      <c r="D485" t="s">
        <v>2810</v>
      </c>
      <c r="E485" t="s">
        <v>1729</v>
      </c>
      <c r="F485" t="s">
        <v>427</v>
      </c>
      <c r="G485" t="s">
        <v>104</v>
      </c>
      <c r="H485" s="1">
        <v>45925</v>
      </c>
      <c r="I485">
        <v>-323</v>
      </c>
      <c r="J485">
        <v>0</v>
      </c>
      <c r="K485" t="s">
        <v>2811</v>
      </c>
      <c r="L485" t="s">
        <v>2812</v>
      </c>
      <c r="M485" t="b">
        <v>1</v>
      </c>
      <c r="N485" t="s">
        <v>2813</v>
      </c>
      <c r="O485" t="s">
        <v>2814</v>
      </c>
      <c r="P485" t="s">
        <v>2815</v>
      </c>
      <c r="Q485" t="s">
        <v>2816</v>
      </c>
      <c r="R485" t="s">
        <v>110</v>
      </c>
      <c r="S485" t="s">
        <v>3323</v>
      </c>
      <c r="T485" s="2"/>
    </row>
    <row r="486" spans="1:20" hidden="1" x14ac:dyDescent="0.2">
      <c r="A486">
        <v>3.2</v>
      </c>
      <c r="B486" t="s">
        <v>514</v>
      </c>
      <c r="C486" t="s">
        <v>101</v>
      </c>
      <c r="D486" t="s">
        <v>2817</v>
      </c>
      <c r="E486" t="s">
        <v>2794</v>
      </c>
      <c r="F486" t="s">
        <v>427</v>
      </c>
      <c r="G486" t="s">
        <v>104</v>
      </c>
      <c r="H486" s="1">
        <v>46225</v>
      </c>
      <c r="I486">
        <v>-23</v>
      </c>
      <c r="J486">
        <v>0</v>
      </c>
      <c r="K486" t="s">
        <v>2818</v>
      </c>
      <c r="L486" t="s">
        <v>2819</v>
      </c>
      <c r="M486" t="b">
        <v>1</v>
      </c>
      <c r="N486" t="s">
        <v>2820</v>
      </c>
      <c r="O486" t="s">
        <v>2821</v>
      </c>
      <c r="P486" t="s">
        <v>2822</v>
      </c>
      <c r="Q486" t="s">
        <v>2823</v>
      </c>
      <c r="R486" t="s">
        <v>110</v>
      </c>
      <c r="S486" t="s">
        <v>3323</v>
      </c>
      <c r="T486" s="2"/>
    </row>
    <row r="487" spans="1:20" hidden="1" x14ac:dyDescent="0.2">
      <c r="A487">
        <v>3.18</v>
      </c>
      <c r="B487" t="s">
        <v>514</v>
      </c>
      <c r="C487" t="s">
        <v>101</v>
      </c>
      <c r="D487" t="s">
        <v>2824</v>
      </c>
      <c r="E487" t="s">
        <v>2212</v>
      </c>
      <c r="F487" t="s">
        <v>427</v>
      </c>
      <c r="G487" t="s">
        <v>104</v>
      </c>
      <c r="J487">
        <v>0</v>
      </c>
      <c r="K487" t="s">
        <v>2825</v>
      </c>
      <c r="L487" t="s">
        <v>59</v>
      </c>
      <c r="M487" t="b">
        <v>1</v>
      </c>
      <c r="N487" t="s">
        <v>2826</v>
      </c>
      <c r="O487" t="s">
        <v>2212</v>
      </c>
      <c r="P487" t="s">
        <v>2827</v>
      </c>
      <c r="Q487" t="s">
        <v>2828</v>
      </c>
      <c r="R487" t="s">
        <v>110</v>
      </c>
      <c r="S487" t="s">
        <v>3323</v>
      </c>
      <c r="T487" s="2"/>
    </row>
    <row r="488" spans="1:20" hidden="1" x14ac:dyDescent="0.2">
      <c r="A488">
        <v>2.97</v>
      </c>
      <c r="B488" t="s">
        <v>514</v>
      </c>
      <c r="C488" t="s">
        <v>101</v>
      </c>
      <c r="D488" t="s">
        <v>2829</v>
      </c>
      <c r="E488" t="s">
        <v>2830</v>
      </c>
      <c r="F488" t="s">
        <v>22</v>
      </c>
      <c r="G488" t="s">
        <v>104</v>
      </c>
      <c r="H488" s="1">
        <v>46127</v>
      </c>
      <c r="I488">
        <v>-121</v>
      </c>
      <c r="J488">
        <v>0</v>
      </c>
      <c r="K488" t="s">
        <v>1147</v>
      </c>
      <c r="L488" t="s">
        <v>1545</v>
      </c>
      <c r="M488" t="b">
        <v>1</v>
      </c>
      <c r="N488" t="s">
        <v>2831</v>
      </c>
      <c r="O488" t="s">
        <v>2832</v>
      </c>
      <c r="P488" t="s">
        <v>2833</v>
      </c>
      <c r="Q488" t="s">
        <v>2834</v>
      </c>
      <c r="R488" t="s">
        <v>110</v>
      </c>
      <c r="S488" t="s">
        <v>3323</v>
      </c>
      <c r="T488" s="2"/>
    </row>
    <row r="489" spans="1:20" hidden="1" x14ac:dyDescent="0.2">
      <c r="A489">
        <v>2.97</v>
      </c>
      <c r="B489" t="s">
        <v>514</v>
      </c>
      <c r="C489" t="s">
        <v>101</v>
      </c>
      <c r="D489" t="s">
        <v>2835</v>
      </c>
      <c r="E489" t="s">
        <v>2009</v>
      </c>
      <c r="F489" t="s">
        <v>22</v>
      </c>
      <c r="G489" t="s">
        <v>104</v>
      </c>
      <c r="H489" s="1">
        <v>46091</v>
      </c>
      <c r="I489">
        <v>-157</v>
      </c>
      <c r="J489">
        <v>0</v>
      </c>
      <c r="K489" t="s">
        <v>2836</v>
      </c>
      <c r="L489" t="s">
        <v>1545</v>
      </c>
      <c r="M489" t="b">
        <v>1</v>
      </c>
      <c r="N489" t="s">
        <v>2837</v>
      </c>
      <c r="O489" t="s">
        <v>2838</v>
      </c>
      <c r="P489" t="s">
        <v>2839</v>
      </c>
      <c r="Q489" t="s">
        <v>2840</v>
      </c>
      <c r="R489" t="s">
        <v>110</v>
      </c>
      <c r="S489" t="s">
        <v>3323</v>
      </c>
      <c r="T489" s="2"/>
    </row>
    <row r="490" spans="1:20" hidden="1" x14ac:dyDescent="0.2">
      <c r="A490">
        <v>2.91</v>
      </c>
      <c r="B490" t="s">
        <v>2841</v>
      </c>
      <c r="C490" t="s">
        <v>2842</v>
      </c>
      <c r="D490" t="s">
        <v>2843</v>
      </c>
      <c r="E490" t="s">
        <v>103</v>
      </c>
      <c r="F490" t="s">
        <v>22</v>
      </c>
      <c r="G490" t="s">
        <v>2844</v>
      </c>
      <c r="J490">
        <v>3000000</v>
      </c>
      <c r="K490" t="s">
        <v>1943</v>
      </c>
      <c r="L490" t="s">
        <v>2845</v>
      </c>
      <c r="M490" t="b">
        <v>0</v>
      </c>
      <c r="N490" t="s">
        <v>2846</v>
      </c>
      <c r="O490" t="s">
        <v>103</v>
      </c>
      <c r="P490" t="s">
        <v>38</v>
      </c>
      <c r="Q490" t="s">
        <v>2847</v>
      </c>
      <c r="R490" t="s">
        <v>2848</v>
      </c>
      <c r="S490" t="s">
        <v>3323</v>
      </c>
      <c r="T490" s="2"/>
    </row>
    <row r="491" spans="1:20" hidden="1" x14ac:dyDescent="0.2">
      <c r="A491">
        <v>2.65</v>
      </c>
      <c r="B491" t="s">
        <v>2841</v>
      </c>
      <c r="C491" t="s">
        <v>2842</v>
      </c>
      <c r="D491" t="s">
        <v>2849</v>
      </c>
      <c r="E491" t="s">
        <v>103</v>
      </c>
      <c r="F491" t="s">
        <v>33</v>
      </c>
      <c r="G491" t="s">
        <v>2844</v>
      </c>
      <c r="J491">
        <v>100000</v>
      </c>
      <c r="K491" t="s">
        <v>2850</v>
      </c>
      <c r="L491" t="s">
        <v>2851</v>
      </c>
      <c r="M491" t="b">
        <v>0</v>
      </c>
      <c r="N491" t="s">
        <v>2852</v>
      </c>
      <c r="O491" t="s">
        <v>2853</v>
      </c>
      <c r="P491" t="s">
        <v>38</v>
      </c>
      <c r="Q491" t="s">
        <v>2854</v>
      </c>
      <c r="R491" t="s">
        <v>2848</v>
      </c>
      <c r="S491" t="s">
        <v>3323</v>
      </c>
      <c r="T491" s="2"/>
    </row>
    <row r="492" spans="1:20" hidden="1" x14ac:dyDescent="0.2">
      <c r="A492">
        <v>2.62</v>
      </c>
      <c r="B492" t="s">
        <v>2841</v>
      </c>
      <c r="C492" t="s">
        <v>2842</v>
      </c>
      <c r="D492" t="s">
        <v>2855</v>
      </c>
      <c r="E492" t="s">
        <v>103</v>
      </c>
      <c r="F492" t="s">
        <v>22</v>
      </c>
      <c r="G492" t="s">
        <v>2844</v>
      </c>
      <c r="J492">
        <v>500000</v>
      </c>
      <c r="K492" t="s">
        <v>105</v>
      </c>
      <c r="L492" t="s">
        <v>2856</v>
      </c>
      <c r="M492" t="b">
        <v>0</v>
      </c>
      <c r="N492" t="s">
        <v>2857</v>
      </c>
      <c r="O492" t="s">
        <v>103</v>
      </c>
      <c r="P492" t="s">
        <v>38</v>
      </c>
      <c r="Q492" t="s">
        <v>244</v>
      </c>
      <c r="R492" t="s">
        <v>2848</v>
      </c>
      <c r="S492" t="s">
        <v>3323</v>
      </c>
      <c r="T492" s="2"/>
    </row>
    <row r="493" spans="1:20" hidden="1" x14ac:dyDescent="0.2">
      <c r="A493">
        <v>2.48</v>
      </c>
      <c r="B493" t="s">
        <v>2841</v>
      </c>
      <c r="C493" t="s">
        <v>2842</v>
      </c>
      <c r="D493" t="s">
        <v>2858</v>
      </c>
      <c r="E493" t="s">
        <v>2859</v>
      </c>
      <c r="F493" t="s">
        <v>33</v>
      </c>
      <c r="G493" t="s">
        <v>2844</v>
      </c>
      <c r="J493">
        <v>0</v>
      </c>
      <c r="K493" t="s">
        <v>2860</v>
      </c>
      <c r="L493" t="s">
        <v>2861</v>
      </c>
      <c r="M493" t="b">
        <v>0</v>
      </c>
      <c r="N493" t="s">
        <v>2862</v>
      </c>
      <c r="O493" t="s">
        <v>2863</v>
      </c>
      <c r="P493" t="s">
        <v>38</v>
      </c>
      <c r="Q493" t="s">
        <v>2864</v>
      </c>
      <c r="R493" t="s">
        <v>2848</v>
      </c>
      <c r="S493" t="s">
        <v>3323</v>
      </c>
      <c r="T493" s="2"/>
    </row>
    <row r="494" spans="1:20" hidden="1" x14ac:dyDescent="0.2">
      <c r="A494">
        <v>2.42</v>
      </c>
      <c r="B494" t="s">
        <v>2841</v>
      </c>
      <c r="C494" t="s">
        <v>2842</v>
      </c>
      <c r="D494" t="s">
        <v>2865</v>
      </c>
      <c r="E494" t="s">
        <v>103</v>
      </c>
      <c r="F494" t="s">
        <v>22</v>
      </c>
      <c r="G494" t="s">
        <v>2844</v>
      </c>
      <c r="J494">
        <v>100000</v>
      </c>
      <c r="K494" t="s">
        <v>1368</v>
      </c>
      <c r="L494" t="s">
        <v>2866</v>
      </c>
      <c r="M494" t="b">
        <v>0</v>
      </c>
      <c r="N494" t="s">
        <v>2867</v>
      </c>
      <c r="O494" t="s">
        <v>2868</v>
      </c>
      <c r="P494" t="s">
        <v>38</v>
      </c>
      <c r="Q494" t="s">
        <v>2869</v>
      </c>
      <c r="R494" t="s">
        <v>2848</v>
      </c>
      <c r="S494" t="s">
        <v>3323</v>
      </c>
      <c r="T494" s="2"/>
    </row>
    <row r="495" spans="1:20" hidden="1" x14ac:dyDescent="0.2">
      <c r="A495">
        <v>2.34</v>
      </c>
      <c r="B495" t="s">
        <v>2841</v>
      </c>
      <c r="C495" t="s">
        <v>2842</v>
      </c>
      <c r="D495" t="s">
        <v>2870</v>
      </c>
      <c r="E495" t="s">
        <v>2871</v>
      </c>
      <c r="F495" t="s">
        <v>73</v>
      </c>
      <c r="G495" t="s">
        <v>2844</v>
      </c>
      <c r="J495">
        <v>1000000</v>
      </c>
      <c r="K495" t="s">
        <v>2872</v>
      </c>
      <c r="L495" t="s">
        <v>2873</v>
      </c>
      <c r="M495" t="b">
        <v>0</v>
      </c>
      <c r="N495" t="s">
        <v>2874</v>
      </c>
      <c r="O495" t="s">
        <v>2875</v>
      </c>
      <c r="P495" t="s">
        <v>38</v>
      </c>
      <c r="Q495" t="s">
        <v>2876</v>
      </c>
      <c r="R495" t="s">
        <v>2848</v>
      </c>
      <c r="S495" t="s">
        <v>3323</v>
      </c>
      <c r="T495" s="2"/>
    </row>
    <row r="496" spans="1:20" hidden="1" x14ac:dyDescent="0.2">
      <c r="A496">
        <v>2.2400000000000002</v>
      </c>
      <c r="B496" t="s">
        <v>2841</v>
      </c>
      <c r="C496" t="s">
        <v>2842</v>
      </c>
      <c r="D496" t="s">
        <v>2877</v>
      </c>
      <c r="E496" t="s">
        <v>2878</v>
      </c>
      <c r="F496" t="s">
        <v>33</v>
      </c>
      <c r="G496" t="s">
        <v>2844</v>
      </c>
      <c r="J496">
        <v>250000</v>
      </c>
      <c r="K496" t="s">
        <v>2879</v>
      </c>
      <c r="L496" t="s">
        <v>2880</v>
      </c>
      <c r="M496" t="b">
        <v>0</v>
      </c>
      <c r="N496" t="s">
        <v>2881</v>
      </c>
      <c r="O496" t="s">
        <v>2882</v>
      </c>
      <c r="P496" t="s">
        <v>38</v>
      </c>
      <c r="Q496" t="s">
        <v>2883</v>
      </c>
      <c r="R496" t="s">
        <v>2848</v>
      </c>
      <c r="S496" t="s">
        <v>3323</v>
      </c>
      <c r="T496" s="2"/>
    </row>
    <row r="497" spans="1:20" hidden="1" x14ac:dyDescent="0.2">
      <c r="A497">
        <v>2.2000000000000002</v>
      </c>
      <c r="B497" t="s">
        <v>2841</v>
      </c>
      <c r="C497" t="s">
        <v>2842</v>
      </c>
      <c r="D497" t="s">
        <v>2884</v>
      </c>
      <c r="E497" t="s">
        <v>103</v>
      </c>
      <c r="F497" t="s">
        <v>120</v>
      </c>
      <c r="G497" t="s">
        <v>2844</v>
      </c>
      <c r="J497">
        <v>75000</v>
      </c>
      <c r="K497" t="s">
        <v>2885</v>
      </c>
      <c r="L497" t="s">
        <v>2886</v>
      </c>
      <c r="M497" t="b">
        <v>0</v>
      </c>
      <c r="N497" t="s">
        <v>2887</v>
      </c>
      <c r="O497" t="s">
        <v>2888</v>
      </c>
      <c r="P497" t="s">
        <v>38</v>
      </c>
      <c r="Q497" t="s">
        <v>2889</v>
      </c>
      <c r="R497" t="s">
        <v>2848</v>
      </c>
      <c r="S497" t="s">
        <v>3323</v>
      </c>
      <c r="T497" s="2"/>
    </row>
    <row r="498" spans="1:20" hidden="1" x14ac:dyDescent="0.2">
      <c r="A498">
        <v>2.17</v>
      </c>
      <c r="B498" t="s">
        <v>2841</v>
      </c>
      <c r="C498" t="s">
        <v>2842</v>
      </c>
      <c r="D498" t="s">
        <v>2890</v>
      </c>
      <c r="E498" t="s">
        <v>103</v>
      </c>
      <c r="F498" t="s">
        <v>22</v>
      </c>
      <c r="G498" t="s">
        <v>2844</v>
      </c>
      <c r="J498">
        <v>10000</v>
      </c>
      <c r="K498" t="s">
        <v>2891</v>
      </c>
      <c r="L498" t="s">
        <v>2892</v>
      </c>
      <c r="M498" t="b">
        <v>0</v>
      </c>
      <c r="N498" t="s">
        <v>2893</v>
      </c>
      <c r="O498" t="s">
        <v>2894</v>
      </c>
      <c r="P498" t="s">
        <v>28</v>
      </c>
      <c r="Q498" t="s">
        <v>2895</v>
      </c>
      <c r="R498" t="s">
        <v>2848</v>
      </c>
      <c r="S498" t="s">
        <v>3323</v>
      </c>
      <c r="T498" s="2"/>
    </row>
    <row r="499" spans="1:20" hidden="1" x14ac:dyDescent="0.2">
      <c r="A499">
        <v>2.0499999999999998</v>
      </c>
      <c r="B499" t="s">
        <v>2841</v>
      </c>
      <c r="C499" t="s">
        <v>2842</v>
      </c>
      <c r="D499" t="s">
        <v>2896</v>
      </c>
      <c r="E499" t="s">
        <v>2514</v>
      </c>
      <c r="F499" t="s">
        <v>33</v>
      </c>
      <c r="G499" t="s">
        <v>2844</v>
      </c>
      <c r="J499">
        <v>109000</v>
      </c>
      <c r="K499" t="s">
        <v>2897</v>
      </c>
      <c r="L499" t="s">
        <v>2898</v>
      </c>
      <c r="M499" t="b">
        <v>0</v>
      </c>
      <c r="N499" t="s">
        <v>2899</v>
      </c>
      <c r="O499" t="s">
        <v>2900</v>
      </c>
      <c r="Q499" t="s">
        <v>2901</v>
      </c>
      <c r="R499" t="s">
        <v>2848</v>
      </c>
      <c r="S499" t="s">
        <v>3323</v>
      </c>
      <c r="T499" s="2"/>
    </row>
    <row r="500" spans="1:20" hidden="1" x14ac:dyDescent="0.2">
      <c r="A500">
        <v>2.04</v>
      </c>
      <c r="B500" t="s">
        <v>2841</v>
      </c>
      <c r="C500" t="s">
        <v>2842</v>
      </c>
      <c r="D500" t="s">
        <v>2902</v>
      </c>
      <c r="E500" t="s">
        <v>103</v>
      </c>
      <c r="F500" t="s">
        <v>120</v>
      </c>
      <c r="G500" t="s">
        <v>2844</v>
      </c>
      <c r="J500">
        <v>100000</v>
      </c>
      <c r="K500" t="s">
        <v>2903</v>
      </c>
      <c r="L500" t="s">
        <v>2904</v>
      </c>
      <c r="M500" t="b">
        <v>0</v>
      </c>
      <c r="N500" t="s">
        <v>2905</v>
      </c>
      <c r="O500" t="s">
        <v>2906</v>
      </c>
      <c r="P500" t="s">
        <v>28</v>
      </c>
      <c r="Q500" t="s">
        <v>2907</v>
      </c>
      <c r="R500" t="s">
        <v>2848</v>
      </c>
      <c r="S500" t="s">
        <v>3323</v>
      </c>
      <c r="T500" s="2"/>
    </row>
    <row r="501" spans="1:20" hidden="1" x14ac:dyDescent="0.2">
      <c r="A501">
        <v>1.93</v>
      </c>
      <c r="B501" t="s">
        <v>2841</v>
      </c>
      <c r="C501" t="s">
        <v>2842</v>
      </c>
      <c r="D501" t="s">
        <v>2908</v>
      </c>
      <c r="E501" t="s">
        <v>2909</v>
      </c>
      <c r="F501" t="s">
        <v>73</v>
      </c>
      <c r="G501" t="s">
        <v>2844</v>
      </c>
      <c r="J501">
        <v>1500000</v>
      </c>
      <c r="K501" t="s">
        <v>2910</v>
      </c>
      <c r="L501" t="s">
        <v>2911</v>
      </c>
      <c r="M501" t="b">
        <v>0</v>
      </c>
      <c r="N501" t="s">
        <v>2912</v>
      </c>
      <c r="O501" t="s">
        <v>2913</v>
      </c>
      <c r="P501" t="s">
        <v>38</v>
      </c>
      <c r="Q501" t="s">
        <v>2914</v>
      </c>
      <c r="R501" t="s">
        <v>2848</v>
      </c>
      <c r="S501" t="s">
        <v>3323</v>
      </c>
      <c r="T501" s="2"/>
    </row>
    <row r="502" spans="1:20" hidden="1" x14ac:dyDescent="0.2">
      <c r="A502">
        <v>1.92</v>
      </c>
      <c r="B502" t="s">
        <v>2841</v>
      </c>
      <c r="C502" t="s">
        <v>2842</v>
      </c>
      <c r="D502" t="s">
        <v>2915</v>
      </c>
      <c r="E502" t="s">
        <v>2916</v>
      </c>
      <c r="F502" t="s">
        <v>22</v>
      </c>
      <c r="G502" t="s">
        <v>2844</v>
      </c>
      <c r="J502">
        <v>1090000</v>
      </c>
      <c r="K502" t="s">
        <v>2917</v>
      </c>
      <c r="L502" t="s">
        <v>525</v>
      </c>
      <c r="M502" t="b">
        <v>0</v>
      </c>
      <c r="N502" t="s">
        <v>2918</v>
      </c>
      <c r="O502" t="s">
        <v>2919</v>
      </c>
      <c r="P502" t="s">
        <v>38</v>
      </c>
      <c r="Q502" t="s">
        <v>2920</v>
      </c>
      <c r="R502" t="s">
        <v>2848</v>
      </c>
      <c r="S502" t="s">
        <v>3323</v>
      </c>
      <c r="T502" s="2"/>
    </row>
    <row r="503" spans="1:20" hidden="1" x14ac:dyDescent="0.2">
      <c r="A503">
        <v>1.9</v>
      </c>
      <c r="B503" t="s">
        <v>2841</v>
      </c>
      <c r="C503" t="s">
        <v>2842</v>
      </c>
      <c r="D503" t="s">
        <v>2921</v>
      </c>
      <c r="E503" t="s">
        <v>2922</v>
      </c>
      <c r="F503" t="s">
        <v>22</v>
      </c>
      <c r="G503" t="s">
        <v>2844</v>
      </c>
      <c r="H503" s="1">
        <v>46329</v>
      </c>
      <c r="I503">
        <v>81</v>
      </c>
      <c r="J503">
        <v>0</v>
      </c>
      <c r="K503" t="s">
        <v>105</v>
      </c>
      <c r="L503" t="s">
        <v>2923</v>
      </c>
      <c r="M503" t="b">
        <v>0</v>
      </c>
      <c r="N503" t="s">
        <v>2924</v>
      </c>
      <c r="O503" t="s">
        <v>243</v>
      </c>
      <c r="P503" t="s">
        <v>38</v>
      </c>
      <c r="Q503" t="s">
        <v>2925</v>
      </c>
      <c r="R503" t="s">
        <v>2848</v>
      </c>
      <c r="S503" t="s">
        <v>3323</v>
      </c>
      <c r="T503" s="2"/>
    </row>
    <row r="504" spans="1:20" hidden="1" x14ac:dyDescent="0.2">
      <c r="A504">
        <v>1.89</v>
      </c>
      <c r="B504" t="s">
        <v>2841</v>
      </c>
      <c r="C504" t="s">
        <v>2842</v>
      </c>
      <c r="D504" t="s">
        <v>2926</v>
      </c>
      <c r="E504" t="s">
        <v>2927</v>
      </c>
      <c r="F504" t="s">
        <v>33</v>
      </c>
      <c r="G504" t="s">
        <v>2844</v>
      </c>
      <c r="J504">
        <v>1000000</v>
      </c>
      <c r="K504" t="s">
        <v>2928</v>
      </c>
      <c r="L504" t="s">
        <v>2929</v>
      </c>
      <c r="M504" t="b">
        <v>0</v>
      </c>
      <c r="N504" t="s">
        <v>2930</v>
      </c>
      <c r="O504" t="s">
        <v>2931</v>
      </c>
      <c r="P504" t="s">
        <v>38</v>
      </c>
      <c r="Q504" t="s">
        <v>2932</v>
      </c>
      <c r="R504" t="s">
        <v>2848</v>
      </c>
      <c r="S504" t="s">
        <v>3323</v>
      </c>
      <c r="T504" s="2"/>
    </row>
    <row r="505" spans="1:20" hidden="1" x14ac:dyDescent="0.2">
      <c r="A505">
        <v>1.88</v>
      </c>
      <c r="B505" t="s">
        <v>2841</v>
      </c>
      <c r="C505" t="s">
        <v>2842</v>
      </c>
      <c r="D505" t="s">
        <v>2933</v>
      </c>
      <c r="E505" t="s">
        <v>2934</v>
      </c>
      <c r="F505" t="s">
        <v>33</v>
      </c>
      <c r="G505" t="s">
        <v>2844</v>
      </c>
      <c r="J505">
        <v>220000</v>
      </c>
      <c r="K505" t="s">
        <v>2935</v>
      </c>
      <c r="L505" t="s">
        <v>2936</v>
      </c>
      <c r="M505" t="b">
        <v>0</v>
      </c>
      <c r="N505" t="s">
        <v>2930</v>
      </c>
      <c r="O505" t="s">
        <v>2937</v>
      </c>
      <c r="P505" t="s">
        <v>38</v>
      </c>
      <c r="Q505" t="s">
        <v>2938</v>
      </c>
      <c r="R505" t="s">
        <v>2848</v>
      </c>
      <c r="S505" t="s">
        <v>3323</v>
      </c>
      <c r="T505" s="2"/>
    </row>
    <row r="506" spans="1:20" hidden="1" x14ac:dyDescent="0.2">
      <c r="A506">
        <v>1.83</v>
      </c>
      <c r="B506" t="s">
        <v>2841</v>
      </c>
      <c r="C506" t="s">
        <v>2842</v>
      </c>
      <c r="D506" t="s">
        <v>2939</v>
      </c>
      <c r="E506" t="s">
        <v>2940</v>
      </c>
      <c r="F506" t="s">
        <v>33</v>
      </c>
      <c r="G506" t="s">
        <v>2844</v>
      </c>
      <c r="J506">
        <v>0</v>
      </c>
      <c r="K506" t="s">
        <v>2941</v>
      </c>
      <c r="L506" t="s">
        <v>2942</v>
      </c>
      <c r="M506" t="b">
        <v>0</v>
      </c>
      <c r="N506" t="s">
        <v>2943</v>
      </c>
      <c r="O506" t="s">
        <v>2944</v>
      </c>
      <c r="P506" t="s">
        <v>38</v>
      </c>
      <c r="Q506" t="s">
        <v>2945</v>
      </c>
      <c r="R506" t="s">
        <v>2848</v>
      </c>
      <c r="S506" t="s">
        <v>3323</v>
      </c>
      <c r="T506" s="2"/>
    </row>
    <row r="507" spans="1:20" hidden="1" x14ac:dyDescent="0.2">
      <c r="A507">
        <v>1.8</v>
      </c>
      <c r="B507" t="s">
        <v>2841</v>
      </c>
      <c r="C507" t="s">
        <v>2842</v>
      </c>
      <c r="D507" t="s">
        <v>2946</v>
      </c>
      <c r="E507" t="s">
        <v>2947</v>
      </c>
      <c r="F507" t="s">
        <v>290</v>
      </c>
      <c r="G507" t="s">
        <v>2844</v>
      </c>
      <c r="J507">
        <v>0</v>
      </c>
      <c r="K507" t="s">
        <v>2948</v>
      </c>
      <c r="L507" t="s">
        <v>549</v>
      </c>
      <c r="M507" t="b">
        <v>0</v>
      </c>
      <c r="N507" t="s">
        <v>2949</v>
      </c>
      <c r="O507" t="s">
        <v>2950</v>
      </c>
      <c r="P507" t="s">
        <v>38</v>
      </c>
      <c r="Q507" t="s">
        <v>2951</v>
      </c>
      <c r="R507" t="s">
        <v>2848</v>
      </c>
      <c r="S507" t="s">
        <v>3323</v>
      </c>
      <c r="T507" s="2"/>
    </row>
    <row r="508" spans="1:20" hidden="1" x14ac:dyDescent="0.2">
      <c r="A508">
        <v>1.79</v>
      </c>
      <c r="B508" t="s">
        <v>2841</v>
      </c>
      <c r="C508" t="s">
        <v>2842</v>
      </c>
      <c r="D508" t="s">
        <v>2952</v>
      </c>
      <c r="E508" t="s">
        <v>2953</v>
      </c>
      <c r="F508" t="s">
        <v>33</v>
      </c>
      <c r="G508" t="s">
        <v>2844</v>
      </c>
      <c r="J508">
        <v>75000</v>
      </c>
      <c r="K508" t="s">
        <v>2954</v>
      </c>
      <c r="L508" t="s">
        <v>2955</v>
      </c>
      <c r="M508" t="b">
        <v>0</v>
      </c>
      <c r="N508" t="s">
        <v>2930</v>
      </c>
      <c r="O508" t="s">
        <v>2956</v>
      </c>
      <c r="P508" t="s">
        <v>38</v>
      </c>
      <c r="Q508" t="s">
        <v>2957</v>
      </c>
      <c r="R508" t="s">
        <v>2848</v>
      </c>
      <c r="S508" t="s">
        <v>3323</v>
      </c>
      <c r="T508" s="2"/>
    </row>
    <row r="509" spans="1:20" hidden="1" x14ac:dyDescent="0.2">
      <c r="A509">
        <v>1.79</v>
      </c>
      <c r="B509" t="s">
        <v>2841</v>
      </c>
      <c r="C509" t="s">
        <v>2842</v>
      </c>
      <c r="D509" t="s">
        <v>2958</v>
      </c>
      <c r="E509" t="s">
        <v>2959</v>
      </c>
      <c r="F509" t="s">
        <v>73</v>
      </c>
      <c r="G509" t="s">
        <v>2844</v>
      </c>
      <c r="J509">
        <v>1500000</v>
      </c>
      <c r="K509" t="s">
        <v>2960</v>
      </c>
      <c r="L509" t="s">
        <v>2961</v>
      </c>
      <c r="M509" t="b">
        <v>0</v>
      </c>
      <c r="N509" t="s">
        <v>2962</v>
      </c>
      <c r="O509" t="s">
        <v>2963</v>
      </c>
      <c r="P509" t="s">
        <v>28</v>
      </c>
      <c r="Q509" t="s">
        <v>2914</v>
      </c>
      <c r="R509" t="s">
        <v>2848</v>
      </c>
      <c r="S509" t="s">
        <v>3323</v>
      </c>
      <c r="T509" s="2"/>
    </row>
    <row r="510" spans="1:20" hidden="1" x14ac:dyDescent="0.2">
      <c r="A510">
        <v>1.72</v>
      </c>
      <c r="B510" t="s">
        <v>2841</v>
      </c>
      <c r="C510" t="s">
        <v>2842</v>
      </c>
      <c r="D510" t="s">
        <v>2964</v>
      </c>
      <c r="E510" t="s">
        <v>2965</v>
      </c>
      <c r="F510" t="s">
        <v>73</v>
      </c>
      <c r="G510" t="s">
        <v>2844</v>
      </c>
      <c r="J510">
        <v>750000</v>
      </c>
      <c r="K510" t="s">
        <v>2966</v>
      </c>
      <c r="L510" t="s">
        <v>2967</v>
      </c>
      <c r="M510" t="b">
        <v>0</v>
      </c>
      <c r="N510" t="s">
        <v>2968</v>
      </c>
      <c r="O510" t="s">
        <v>2969</v>
      </c>
      <c r="P510" t="s">
        <v>2970</v>
      </c>
      <c r="Q510" t="s">
        <v>2971</v>
      </c>
      <c r="R510" t="s">
        <v>2848</v>
      </c>
      <c r="S510" t="s">
        <v>3323</v>
      </c>
      <c r="T510" s="2"/>
    </row>
    <row r="511" spans="1:20" hidden="1" x14ac:dyDescent="0.2">
      <c r="A511">
        <v>1.66</v>
      </c>
      <c r="B511" t="s">
        <v>2841</v>
      </c>
      <c r="C511" t="s">
        <v>2842</v>
      </c>
      <c r="D511" t="s">
        <v>2972</v>
      </c>
      <c r="E511" t="s">
        <v>2973</v>
      </c>
      <c r="F511" t="s">
        <v>42</v>
      </c>
      <c r="G511" t="s">
        <v>2844</v>
      </c>
      <c r="J511">
        <v>0</v>
      </c>
      <c r="K511" t="s">
        <v>2974</v>
      </c>
      <c r="L511" t="s">
        <v>2975</v>
      </c>
      <c r="M511" t="b">
        <v>0</v>
      </c>
      <c r="N511" t="s">
        <v>2976</v>
      </c>
      <c r="O511" t="s">
        <v>2977</v>
      </c>
      <c r="P511" t="s">
        <v>28</v>
      </c>
      <c r="Q511" t="s">
        <v>2978</v>
      </c>
      <c r="R511" t="s">
        <v>2848</v>
      </c>
      <c r="S511" t="s">
        <v>3323</v>
      </c>
      <c r="T511" s="2"/>
    </row>
    <row r="512" spans="1:20" hidden="1" x14ac:dyDescent="0.2">
      <c r="A512">
        <v>1.65</v>
      </c>
      <c r="B512" t="s">
        <v>2841</v>
      </c>
      <c r="C512" t="s">
        <v>2842</v>
      </c>
      <c r="D512" t="s">
        <v>2979</v>
      </c>
      <c r="E512" t="s">
        <v>2980</v>
      </c>
      <c r="F512" t="s">
        <v>33</v>
      </c>
      <c r="G512" t="s">
        <v>2844</v>
      </c>
      <c r="H512" s="1">
        <v>46290</v>
      </c>
      <c r="I512">
        <v>42</v>
      </c>
      <c r="J512">
        <v>10900</v>
      </c>
      <c r="K512" t="s">
        <v>2981</v>
      </c>
      <c r="L512" t="s">
        <v>2982</v>
      </c>
      <c r="M512" t="b">
        <v>1</v>
      </c>
      <c r="N512" t="s">
        <v>2983</v>
      </c>
      <c r="O512" t="s">
        <v>2984</v>
      </c>
      <c r="P512" t="s">
        <v>38</v>
      </c>
      <c r="Q512" t="s">
        <v>2985</v>
      </c>
      <c r="R512" t="s">
        <v>2848</v>
      </c>
      <c r="S512" t="s">
        <v>3323</v>
      </c>
      <c r="T512" s="2"/>
    </row>
    <row r="513" spans="1:20" hidden="1" x14ac:dyDescent="0.2">
      <c r="A513">
        <v>1.54</v>
      </c>
      <c r="B513" t="s">
        <v>2841</v>
      </c>
      <c r="C513" t="s">
        <v>2842</v>
      </c>
      <c r="D513" t="s">
        <v>2986</v>
      </c>
      <c r="E513" t="s">
        <v>2987</v>
      </c>
      <c r="F513" t="s">
        <v>33</v>
      </c>
      <c r="G513" t="s">
        <v>2844</v>
      </c>
      <c r="J513">
        <v>76200</v>
      </c>
      <c r="K513" t="s">
        <v>2988</v>
      </c>
      <c r="L513" t="s">
        <v>2989</v>
      </c>
      <c r="M513" t="b">
        <v>0</v>
      </c>
      <c r="N513" t="s">
        <v>2990</v>
      </c>
      <c r="O513" t="s">
        <v>2991</v>
      </c>
      <c r="Q513" t="s">
        <v>2992</v>
      </c>
      <c r="R513" t="s">
        <v>2848</v>
      </c>
      <c r="S513" t="s">
        <v>3323</v>
      </c>
      <c r="T513" s="2"/>
    </row>
    <row r="514" spans="1:20" hidden="1" x14ac:dyDescent="0.2">
      <c r="A514">
        <v>1.54</v>
      </c>
      <c r="B514" t="s">
        <v>2841</v>
      </c>
      <c r="C514" t="s">
        <v>2842</v>
      </c>
      <c r="D514" t="s">
        <v>2993</v>
      </c>
      <c r="E514" t="s">
        <v>2994</v>
      </c>
      <c r="F514" t="s">
        <v>33</v>
      </c>
      <c r="G514" t="s">
        <v>2844</v>
      </c>
      <c r="J514">
        <v>100000</v>
      </c>
      <c r="K514" t="s">
        <v>2995</v>
      </c>
      <c r="L514" t="s">
        <v>2996</v>
      </c>
      <c r="M514" t="b">
        <v>0</v>
      </c>
      <c r="N514" t="s">
        <v>2997</v>
      </c>
      <c r="O514" t="s">
        <v>2998</v>
      </c>
      <c r="P514" t="s">
        <v>38</v>
      </c>
      <c r="Q514" t="s">
        <v>2999</v>
      </c>
      <c r="R514" t="s">
        <v>2848</v>
      </c>
      <c r="S514" t="s">
        <v>3323</v>
      </c>
      <c r="T514" s="2"/>
    </row>
    <row r="515" spans="1:20" hidden="1" x14ac:dyDescent="0.2">
      <c r="A515">
        <v>1.47</v>
      </c>
      <c r="B515" t="s">
        <v>2841</v>
      </c>
      <c r="C515" t="s">
        <v>2842</v>
      </c>
      <c r="D515" t="s">
        <v>3000</v>
      </c>
      <c r="E515" t="s">
        <v>3001</v>
      </c>
      <c r="F515" t="s">
        <v>120</v>
      </c>
      <c r="G515" t="s">
        <v>2844</v>
      </c>
      <c r="J515">
        <v>127000</v>
      </c>
      <c r="K515" t="s">
        <v>3002</v>
      </c>
      <c r="L515" t="s">
        <v>3003</v>
      </c>
      <c r="M515" t="b">
        <v>0</v>
      </c>
      <c r="N515" t="s">
        <v>3004</v>
      </c>
      <c r="O515" t="s">
        <v>3005</v>
      </c>
      <c r="P515" t="s">
        <v>3006</v>
      </c>
      <c r="Q515" t="s">
        <v>3007</v>
      </c>
      <c r="R515" t="s">
        <v>2848</v>
      </c>
      <c r="S515" t="s">
        <v>3323</v>
      </c>
      <c r="T515" s="2"/>
    </row>
    <row r="516" spans="1:20" hidden="1" x14ac:dyDescent="0.2">
      <c r="A516">
        <v>1.4</v>
      </c>
      <c r="B516" t="s">
        <v>2841</v>
      </c>
      <c r="C516" t="s">
        <v>2842</v>
      </c>
      <c r="D516" t="s">
        <v>3008</v>
      </c>
      <c r="E516" t="s">
        <v>2068</v>
      </c>
      <c r="F516" t="s">
        <v>33</v>
      </c>
      <c r="G516" t="s">
        <v>2844</v>
      </c>
      <c r="J516">
        <v>163500</v>
      </c>
      <c r="K516" t="s">
        <v>135</v>
      </c>
      <c r="L516" t="s">
        <v>3009</v>
      </c>
      <c r="M516" t="b">
        <v>0</v>
      </c>
      <c r="N516" t="s">
        <v>3010</v>
      </c>
      <c r="O516" t="s">
        <v>3011</v>
      </c>
      <c r="P516" t="s">
        <v>38</v>
      </c>
      <c r="Q516" t="s">
        <v>3012</v>
      </c>
      <c r="R516" t="s">
        <v>2848</v>
      </c>
      <c r="S516" t="s">
        <v>3323</v>
      </c>
      <c r="T516" s="2"/>
    </row>
    <row r="517" spans="1:20" hidden="1" x14ac:dyDescent="0.2">
      <c r="A517">
        <v>1.38</v>
      </c>
      <c r="B517" t="s">
        <v>2841</v>
      </c>
      <c r="C517" t="s">
        <v>2842</v>
      </c>
      <c r="D517" t="s">
        <v>3013</v>
      </c>
      <c r="E517" t="s">
        <v>3014</v>
      </c>
      <c r="F517" t="s">
        <v>22</v>
      </c>
      <c r="G517" t="s">
        <v>2844</v>
      </c>
      <c r="J517">
        <v>500000</v>
      </c>
      <c r="K517" t="s">
        <v>105</v>
      </c>
      <c r="L517" t="s">
        <v>3015</v>
      </c>
      <c r="M517" t="b">
        <v>1</v>
      </c>
      <c r="N517" t="s">
        <v>3016</v>
      </c>
      <c r="O517" t="s">
        <v>3017</v>
      </c>
      <c r="P517" t="s">
        <v>3018</v>
      </c>
      <c r="Q517" t="s">
        <v>3019</v>
      </c>
      <c r="R517" t="s">
        <v>2848</v>
      </c>
      <c r="S517" t="s">
        <v>3323</v>
      </c>
      <c r="T517" s="2"/>
    </row>
    <row r="518" spans="1:20" hidden="1" x14ac:dyDescent="0.2">
      <c r="A518">
        <v>1.38</v>
      </c>
      <c r="B518" t="s">
        <v>2841</v>
      </c>
      <c r="C518" t="s">
        <v>2842</v>
      </c>
      <c r="D518" t="s">
        <v>3020</v>
      </c>
      <c r="E518" t="s">
        <v>3021</v>
      </c>
      <c r="F518" t="s">
        <v>33</v>
      </c>
      <c r="G518" t="s">
        <v>2844</v>
      </c>
      <c r="J518">
        <v>120000</v>
      </c>
      <c r="K518" t="s">
        <v>3022</v>
      </c>
      <c r="L518" t="s">
        <v>3023</v>
      </c>
      <c r="M518" t="b">
        <v>0</v>
      </c>
      <c r="N518" t="s">
        <v>3024</v>
      </c>
      <c r="O518" t="s">
        <v>3025</v>
      </c>
      <c r="P518" t="s">
        <v>3026</v>
      </c>
      <c r="Q518" t="s">
        <v>3027</v>
      </c>
      <c r="R518" t="s">
        <v>2848</v>
      </c>
      <c r="S518" t="s">
        <v>3323</v>
      </c>
      <c r="T518" s="2"/>
    </row>
    <row r="519" spans="1:20" hidden="1" x14ac:dyDescent="0.2">
      <c r="A519">
        <v>1.36</v>
      </c>
      <c r="B519" t="s">
        <v>2841</v>
      </c>
      <c r="C519" t="s">
        <v>2842</v>
      </c>
      <c r="D519" t="s">
        <v>3028</v>
      </c>
      <c r="E519" t="s">
        <v>3029</v>
      </c>
      <c r="F519" t="s">
        <v>73</v>
      </c>
      <c r="G519" t="s">
        <v>2844</v>
      </c>
      <c r="H519" s="1">
        <v>46280</v>
      </c>
      <c r="I519">
        <v>32</v>
      </c>
      <c r="J519">
        <v>200000</v>
      </c>
      <c r="K519" t="s">
        <v>3030</v>
      </c>
      <c r="L519" t="s">
        <v>3031</v>
      </c>
      <c r="M519" t="b">
        <v>1</v>
      </c>
      <c r="N519" t="s">
        <v>805</v>
      </c>
      <c r="O519" t="s">
        <v>3032</v>
      </c>
      <c r="P519" t="s">
        <v>3033</v>
      </c>
      <c r="Q519" t="s">
        <v>3034</v>
      </c>
      <c r="R519" t="s">
        <v>2848</v>
      </c>
      <c r="S519" t="s">
        <v>3323</v>
      </c>
      <c r="T519" s="2"/>
    </row>
    <row r="520" spans="1:20" hidden="1" x14ac:dyDescent="0.2">
      <c r="A520">
        <v>1.35</v>
      </c>
      <c r="B520" t="s">
        <v>2841</v>
      </c>
      <c r="C520" t="s">
        <v>2842</v>
      </c>
      <c r="D520" t="s">
        <v>3035</v>
      </c>
      <c r="E520" t="s">
        <v>103</v>
      </c>
      <c r="F520" t="s">
        <v>120</v>
      </c>
      <c r="G520" t="s">
        <v>2844</v>
      </c>
      <c r="J520">
        <v>375000</v>
      </c>
      <c r="K520" t="s">
        <v>2885</v>
      </c>
      <c r="L520" t="s">
        <v>1434</v>
      </c>
      <c r="M520" t="b">
        <v>0</v>
      </c>
      <c r="N520" t="s">
        <v>3036</v>
      </c>
      <c r="O520" t="s">
        <v>243</v>
      </c>
      <c r="P520" t="s">
        <v>3037</v>
      </c>
      <c r="Q520" t="s">
        <v>3038</v>
      </c>
      <c r="R520" t="s">
        <v>2848</v>
      </c>
      <c r="S520" t="s">
        <v>3323</v>
      </c>
      <c r="T520" s="2"/>
    </row>
    <row r="521" spans="1:20" hidden="1" x14ac:dyDescent="0.2">
      <c r="A521">
        <v>1.34</v>
      </c>
      <c r="B521" t="s">
        <v>2841</v>
      </c>
      <c r="C521" t="s">
        <v>2842</v>
      </c>
      <c r="D521" t="s">
        <v>3039</v>
      </c>
      <c r="E521" t="s">
        <v>193</v>
      </c>
      <c r="F521" t="s">
        <v>120</v>
      </c>
      <c r="G521" t="s">
        <v>2844</v>
      </c>
      <c r="J521">
        <v>0</v>
      </c>
      <c r="K521" t="s">
        <v>1713</v>
      </c>
      <c r="L521" t="s">
        <v>3040</v>
      </c>
      <c r="M521" t="b">
        <v>0</v>
      </c>
      <c r="N521" t="s">
        <v>3041</v>
      </c>
      <c r="O521" t="s">
        <v>3042</v>
      </c>
      <c r="P521" t="s">
        <v>38</v>
      </c>
      <c r="Q521" t="s">
        <v>3043</v>
      </c>
      <c r="R521" t="s">
        <v>2848</v>
      </c>
      <c r="S521" t="s">
        <v>3323</v>
      </c>
      <c r="T521" s="2"/>
    </row>
    <row r="522" spans="1:20" hidden="1" x14ac:dyDescent="0.2">
      <c r="A522">
        <v>1.29</v>
      </c>
      <c r="B522" t="s">
        <v>2841</v>
      </c>
      <c r="C522" t="s">
        <v>2842</v>
      </c>
      <c r="D522" t="s">
        <v>3044</v>
      </c>
      <c r="E522" t="s">
        <v>103</v>
      </c>
      <c r="F522" t="s">
        <v>22</v>
      </c>
      <c r="G522" t="s">
        <v>2844</v>
      </c>
      <c r="J522">
        <v>1000</v>
      </c>
      <c r="K522" t="s">
        <v>105</v>
      </c>
      <c r="L522" t="s">
        <v>3045</v>
      </c>
      <c r="M522" t="b">
        <v>0</v>
      </c>
      <c r="N522" t="s">
        <v>216</v>
      </c>
      <c r="O522" t="s">
        <v>243</v>
      </c>
      <c r="P522" t="s">
        <v>38</v>
      </c>
      <c r="Q522" t="s">
        <v>3046</v>
      </c>
      <c r="R522" t="s">
        <v>2848</v>
      </c>
      <c r="S522" t="s">
        <v>3323</v>
      </c>
      <c r="T522" s="2"/>
    </row>
    <row r="523" spans="1:20" hidden="1" x14ac:dyDescent="0.2">
      <c r="A523">
        <v>1.29</v>
      </c>
      <c r="B523" t="s">
        <v>2841</v>
      </c>
      <c r="C523" t="s">
        <v>2842</v>
      </c>
      <c r="D523" t="s">
        <v>3047</v>
      </c>
      <c r="E523" t="s">
        <v>2335</v>
      </c>
      <c r="F523" t="s">
        <v>33</v>
      </c>
      <c r="G523" t="s">
        <v>2844</v>
      </c>
      <c r="J523">
        <v>0</v>
      </c>
      <c r="K523" t="s">
        <v>44</v>
      </c>
      <c r="L523" t="s">
        <v>3048</v>
      </c>
      <c r="M523" t="b">
        <v>0</v>
      </c>
      <c r="N523" t="s">
        <v>28</v>
      </c>
      <c r="O523" t="s">
        <v>2506</v>
      </c>
      <c r="P523" t="s">
        <v>28</v>
      </c>
      <c r="Q523" t="s">
        <v>3049</v>
      </c>
      <c r="R523" t="s">
        <v>2848</v>
      </c>
      <c r="S523" t="s">
        <v>3323</v>
      </c>
      <c r="T523" s="2"/>
    </row>
    <row r="524" spans="1:20" hidden="1" x14ac:dyDescent="0.2">
      <c r="A524">
        <v>1.21</v>
      </c>
      <c r="B524" t="s">
        <v>2841</v>
      </c>
      <c r="C524" t="s">
        <v>2842</v>
      </c>
      <c r="D524" t="s">
        <v>3050</v>
      </c>
      <c r="E524" t="s">
        <v>3051</v>
      </c>
      <c r="F524" t="s">
        <v>427</v>
      </c>
      <c r="G524" t="s">
        <v>2844</v>
      </c>
      <c r="J524">
        <v>0</v>
      </c>
      <c r="K524" t="s">
        <v>3052</v>
      </c>
      <c r="L524" t="s">
        <v>3053</v>
      </c>
      <c r="M524" t="b">
        <v>0</v>
      </c>
      <c r="N524" t="s">
        <v>3054</v>
      </c>
      <c r="O524" t="s">
        <v>3055</v>
      </c>
      <c r="P524" t="s">
        <v>38</v>
      </c>
      <c r="Q524" t="s">
        <v>3056</v>
      </c>
      <c r="R524" t="s">
        <v>2848</v>
      </c>
      <c r="S524" t="s">
        <v>3323</v>
      </c>
      <c r="T524" s="2"/>
    </row>
    <row r="525" spans="1:20" hidden="1" x14ac:dyDescent="0.2">
      <c r="A525">
        <v>1.1599999999999999</v>
      </c>
      <c r="B525" t="s">
        <v>2841</v>
      </c>
      <c r="C525" t="s">
        <v>2842</v>
      </c>
      <c r="D525" t="s">
        <v>3057</v>
      </c>
      <c r="E525" t="s">
        <v>737</v>
      </c>
      <c r="F525" t="s">
        <v>33</v>
      </c>
      <c r="G525" t="s">
        <v>2844</v>
      </c>
      <c r="J525">
        <v>545000</v>
      </c>
      <c r="K525" t="s">
        <v>1545</v>
      </c>
      <c r="L525" t="s">
        <v>1545</v>
      </c>
      <c r="M525" t="b">
        <v>0</v>
      </c>
      <c r="N525" t="s">
        <v>3058</v>
      </c>
      <c r="O525" t="s">
        <v>1545</v>
      </c>
      <c r="P525" t="s">
        <v>3059</v>
      </c>
      <c r="Q525" t="s">
        <v>3060</v>
      </c>
      <c r="R525" t="s">
        <v>2848</v>
      </c>
      <c r="S525" t="s">
        <v>3323</v>
      </c>
      <c r="T525" s="2"/>
    </row>
    <row r="526" spans="1:20" hidden="1" x14ac:dyDescent="0.2">
      <c r="A526">
        <v>1.1599999999999999</v>
      </c>
      <c r="B526" t="s">
        <v>2841</v>
      </c>
      <c r="C526" t="s">
        <v>2842</v>
      </c>
      <c r="D526" t="s">
        <v>3061</v>
      </c>
      <c r="E526" t="s">
        <v>3062</v>
      </c>
      <c r="F526" t="s">
        <v>33</v>
      </c>
      <c r="G526" t="s">
        <v>2844</v>
      </c>
      <c r="J526">
        <v>0</v>
      </c>
      <c r="K526" t="s">
        <v>3063</v>
      </c>
      <c r="L526" t="s">
        <v>59</v>
      </c>
      <c r="M526" t="b">
        <v>0</v>
      </c>
      <c r="N526" t="s">
        <v>3064</v>
      </c>
      <c r="O526" t="s">
        <v>1888</v>
      </c>
      <c r="P526" t="s">
        <v>38</v>
      </c>
      <c r="Q526" t="s">
        <v>3065</v>
      </c>
      <c r="R526" t="s">
        <v>2848</v>
      </c>
      <c r="S526" t="s">
        <v>3323</v>
      </c>
      <c r="T526" s="2"/>
    </row>
    <row r="527" spans="1:20" hidden="1" x14ac:dyDescent="0.2">
      <c r="A527">
        <v>1.1399999999999999</v>
      </c>
      <c r="B527" t="s">
        <v>2841</v>
      </c>
      <c r="C527" t="s">
        <v>2842</v>
      </c>
      <c r="D527" t="s">
        <v>3066</v>
      </c>
      <c r="E527" t="s">
        <v>3067</v>
      </c>
      <c r="F527" t="s">
        <v>42</v>
      </c>
      <c r="G527" t="s">
        <v>2844</v>
      </c>
      <c r="J527">
        <v>0</v>
      </c>
      <c r="K527" t="s">
        <v>1198</v>
      </c>
      <c r="L527" t="s">
        <v>3068</v>
      </c>
      <c r="M527" t="b">
        <v>0</v>
      </c>
      <c r="N527" t="s">
        <v>3069</v>
      </c>
      <c r="O527" t="s">
        <v>3070</v>
      </c>
      <c r="P527" t="s">
        <v>38</v>
      </c>
      <c r="Q527" t="s">
        <v>3071</v>
      </c>
      <c r="R527" t="s">
        <v>2848</v>
      </c>
      <c r="S527" t="s">
        <v>3323</v>
      </c>
      <c r="T527" s="2"/>
    </row>
    <row r="528" spans="1:20" hidden="1" x14ac:dyDescent="0.2">
      <c r="A528">
        <v>1.1399999999999999</v>
      </c>
      <c r="B528" t="s">
        <v>2841</v>
      </c>
      <c r="C528" t="s">
        <v>2842</v>
      </c>
      <c r="D528" t="s">
        <v>3072</v>
      </c>
      <c r="E528" t="s">
        <v>940</v>
      </c>
      <c r="F528" t="s">
        <v>33</v>
      </c>
      <c r="G528" t="s">
        <v>2844</v>
      </c>
      <c r="J528">
        <v>20000</v>
      </c>
      <c r="K528" t="s">
        <v>3073</v>
      </c>
      <c r="L528" t="s">
        <v>3074</v>
      </c>
      <c r="M528" t="b">
        <v>0</v>
      </c>
      <c r="N528" t="s">
        <v>3075</v>
      </c>
      <c r="O528" t="s">
        <v>243</v>
      </c>
      <c r="P528" t="s">
        <v>3076</v>
      </c>
      <c r="Q528" t="s">
        <v>3077</v>
      </c>
      <c r="R528" t="s">
        <v>2848</v>
      </c>
      <c r="S528" t="s">
        <v>3323</v>
      </c>
      <c r="T528" s="2"/>
    </row>
    <row r="529" spans="1:20" hidden="1" x14ac:dyDescent="0.2">
      <c r="A529">
        <v>1.08</v>
      </c>
      <c r="B529" t="s">
        <v>2841</v>
      </c>
      <c r="C529" t="s">
        <v>2842</v>
      </c>
      <c r="D529" t="s">
        <v>3078</v>
      </c>
      <c r="E529" t="s">
        <v>3079</v>
      </c>
      <c r="F529" t="s">
        <v>33</v>
      </c>
      <c r="G529" t="s">
        <v>2844</v>
      </c>
      <c r="J529">
        <v>0</v>
      </c>
      <c r="K529" t="s">
        <v>2850</v>
      </c>
      <c r="L529" t="s">
        <v>3080</v>
      </c>
      <c r="M529" t="b">
        <v>1</v>
      </c>
      <c r="N529" t="s">
        <v>3081</v>
      </c>
      <c r="O529" t="s">
        <v>3082</v>
      </c>
      <c r="P529" t="s">
        <v>3083</v>
      </c>
      <c r="Q529" t="s">
        <v>3084</v>
      </c>
      <c r="R529" t="s">
        <v>2848</v>
      </c>
      <c r="S529" t="s">
        <v>3323</v>
      </c>
      <c r="T529" s="2"/>
    </row>
    <row r="530" spans="1:20" hidden="1" x14ac:dyDescent="0.2">
      <c r="A530">
        <v>1.07</v>
      </c>
      <c r="B530" t="s">
        <v>2841</v>
      </c>
      <c r="C530" t="s">
        <v>2842</v>
      </c>
      <c r="D530" t="s">
        <v>3085</v>
      </c>
      <c r="E530" t="s">
        <v>3086</v>
      </c>
      <c r="F530" t="s">
        <v>33</v>
      </c>
      <c r="G530" t="s">
        <v>2844</v>
      </c>
      <c r="H530" s="1">
        <v>46295</v>
      </c>
      <c r="I530">
        <v>47</v>
      </c>
      <c r="J530">
        <v>327000</v>
      </c>
      <c r="K530" t="s">
        <v>3087</v>
      </c>
      <c r="L530" t="s">
        <v>3088</v>
      </c>
      <c r="M530" t="b">
        <v>0</v>
      </c>
      <c r="N530" t="s">
        <v>3089</v>
      </c>
      <c r="O530" t="s">
        <v>3090</v>
      </c>
      <c r="P530" t="s">
        <v>3091</v>
      </c>
      <c r="Q530" t="s">
        <v>3092</v>
      </c>
      <c r="R530" t="s">
        <v>2848</v>
      </c>
      <c r="S530" t="s">
        <v>3323</v>
      </c>
      <c r="T530" s="2"/>
    </row>
    <row r="531" spans="1:20" hidden="1" x14ac:dyDescent="0.2">
      <c r="A531">
        <v>1.03</v>
      </c>
      <c r="B531" t="s">
        <v>2841</v>
      </c>
      <c r="C531" t="s">
        <v>2842</v>
      </c>
      <c r="D531" t="s">
        <v>3093</v>
      </c>
      <c r="E531" t="s">
        <v>3094</v>
      </c>
      <c r="F531" t="s">
        <v>427</v>
      </c>
      <c r="G531" t="s">
        <v>2844</v>
      </c>
      <c r="J531">
        <v>40000</v>
      </c>
      <c r="K531" t="s">
        <v>758</v>
      </c>
      <c r="L531" t="s">
        <v>3095</v>
      </c>
      <c r="M531" t="b">
        <v>0</v>
      </c>
      <c r="N531" t="s">
        <v>2852</v>
      </c>
      <c r="O531" t="s">
        <v>3096</v>
      </c>
      <c r="P531" t="s">
        <v>3097</v>
      </c>
      <c r="Q531" t="s">
        <v>3098</v>
      </c>
      <c r="R531" t="s">
        <v>2848</v>
      </c>
      <c r="S531" t="s">
        <v>3323</v>
      </c>
      <c r="T531" s="2"/>
    </row>
    <row r="532" spans="1:20" hidden="1" x14ac:dyDescent="0.2">
      <c r="A532">
        <v>1.02</v>
      </c>
      <c r="B532" t="s">
        <v>2841</v>
      </c>
      <c r="C532" t="s">
        <v>2842</v>
      </c>
      <c r="D532" t="s">
        <v>3099</v>
      </c>
      <c r="E532" t="s">
        <v>1030</v>
      </c>
      <c r="F532" t="s">
        <v>33</v>
      </c>
      <c r="G532" t="s">
        <v>2844</v>
      </c>
      <c r="J532">
        <v>0</v>
      </c>
      <c r="K532" t="s">
        <v>3100</v>
      </c>
      <c r="L532" t="s">
        <v>3101</v>
      </c>
      <c r="M532" t="b">
        <v>0</v>
      </c>
      <c r="N532" t="s">
        <v>3102</v>
      </c>
      <c r="O532" t="s">
        <v>2422</v>
      </c>
      <c r="P532" t="s">
        <v>28</v>
      </c>
      <c r="Q532" t="s">
        <v>3103</v>
      </c>
      <c r="R532" t="s">
        <v>2848</v>
      </c>
      <c r="S532" t="s">
        <v>3323</v>
      </c>
      <c r="T532" s="2"/>
    </row>
    <row r="533" spans="1:20" hidden="1" x14ac:dyDescent="0.2">
      <c r="A533">
        <v>1</v>
      </c>
      <c r="B533" t="s">
        <v>2841</v>
      </c>
      <c r="C533" t="s">
        <v>2842</v>
      </c>
      <c r="D533" t="s">
        <v>3104</v>
      </c>
      <c r="E533" t="s">
        <v>3105</v>
      </c>
      <c r="F533" t="s">
        <v>33</v>
      </c>
      <c r="G533" t="s">
        <v>2844</v>
      </c>
      <c r="J533">
        <v>0</v>
      </c>
      <c r="K533" t="s">
        <v>2204</v>
      </c>
      <c r="L533" t="s">
        <v>3106</v>
      </c>
      <c r="M533" t="b">
        <v>1</v>
      </c>
      <c r="N533" t="s">
        <v>3107</v>
      </c>
      <c r="O533" t="s">
        <v>3108</v>
      </c>
      <c r="P533" t="s">
        <v>3109</v>
      </c>
      <c r="Q533" t="s">
        <v>3110</v>
      </c>
      <c r="R533" t="s">
        <v>2848</v>
      </c>
      <c r="S533" t="s">
        <v>3323</v>
      </c>
      <c r="T533" s="2"/>
    </row>
    <row r="534" spans="1:20" hidden="1" x14ac:dyDescent="0.2">
      <c r="A534">
        <v>1</v>
      </c>
      <c r="B534" t="s">
        <v>2841</v>
      </c>
      <c r="C534" t="s">
        <v>2842</v>
      </c>
      <c r="D534" t="s">
        <v>3111</v>
      </c>
      <c r="E534" t="s">
        <v>193</v>
      </c>
      <c r="F534" t="s">
        <v>33</v>
      </c>
      <c r="G534" t="s">
        <v>2844</v>
      </c>
      <c r="J534">
        <v>500000</v>
      </c>
      <c r="K534" t="s">
        <v>3112</v>
      </c>
      <c r="L534" t="s">
        <v>3075</v>
      </c>
      <c r="M534" t="b">
        <v>0</v>
      </c>
      <c r="N534" t="s">
        <v>3075</v>
      </c>
      <c r="O534" t="s">
        <v>3075</v>
      </c>
      <c r="P534" t="s">
        <v>3113</v>
      </c>
      <c r="Q534" t="s">
        <v>3114</v>
      </c>
      <c r="R534" t="s">
        <v>2848</v>
      </c>
      <c r="S534" t="s">
        <v>3323</v>
      </c>
      <c r="T534" s="2"/>
    </row>
    <row r="535" spans="1:20" hidden="1" x14ac:dyDescent="0.2">
      <c r="A535">
        <v>0.98</v>
      </c>
      <c r="B535" t="s">
        <v>2841</v>
      </c>
      <c r="C535" t="s">
        <v>2842</v>
      </c>
      <c r="D535" t="s">
        <v>3115</v>
      </c>
      <c r="E535" t="s">
        <v>103</v>
      </c>
      <c r="F535" t="s">
        <v>120</v>
      </c>
      <c r="G535" t="s">
        <v>2844</v>
      </c>
      <c r="J535">
        <v>0</v>
      </c>
      <c r="K535" t="s">
        <v>291</v>
      </c>
      <c r="L535" t="s">
        <v>3116</v>
      </c>
      <c r="M535" t="b">
        <v>0</v>
      </c>
      <c r="N535" t="s">
        <v>3117</v>
      </c>
      <c r="O535" t="s">
        <v>3118</v>
      </c>
      <c r="P535" t="s">
        <v>28</v>
      </c>
      <c r="Q535" t="s">
        <v>3119</v>
      </c>
      <c r="R535" t="s">
        <v>2848</v>
      </c>
      <c r="S535" t="s">
        <v>3323</v>
      </c>
      <c r="T535" s="2"/>
    </row>
    <row r="536" spans="1:20" hidden="1" x14ac:dyDescent="0.2">
      <c r="A536">
        <v>0.98</v>
      </c>
      <c r="B536" t="s">
        <v>2841</v>
      </c>
      <c r="C536" t="s">
        <v>2842</v>
      </c>
      <c r="D536" t="s">
        <v>3120</v>
      </c>
      <c r="E536" t="s">
        <v>103</v>
      </c>
      <c r="F536" t="s">
        <v>22</v>
      </c>
      <c r="G536" t="s">
        <v>2844</v>
      </c>
      <c r="H536" s="1">
        <v>46243</v>
      </c>
      <c r="I536">
        <v>-5</v>
      </c>
      <c r="J536">
        <v>0</v>
      </c>
      <c r="K536" t="s">
        <v>2181</v>
      </c>
      <c r="L536" t="s">
        <v>3121</v>
      </c>
      <c r="M536" t="b">
        <v>0</v>
      </c>
      <c r="N536" t="s">
        <v>2095</v>
      </c>
      <c r="O536" t="s">
        <v>243</v>
      </c>
      <c r="P536" t="s">
        <v>28</v>
      </c>
      <c r="Q536" t="s">
        <v>3122</v>
      </c>
      <c r="R536" t="s">
        <v>2848</v>
      </c>
      <c r="S536" t="s">
        <v>3323</v>
      </c>
      <c r="T536" s="2"/>
    </row>
    <row r="537" spans="1:20" hidden="1" x14ac:dyDescent="0.2">
      <c r="A537">
        <v>0.97</v>
      </c>
      <c r="B537" t="s">
        <v>2841</v>
      </c>
      <c r="C537" t="s">
        <v>2842</v>
      </c>
      <c r="D537" t="s">
        <v>3123</v>
      </c>
      <c r="E537" t="s">
        <v>699</v>
      </c>
      <c r="F537" t="s">
        <v>810</v>
      </c>
      <c r="G537" t="s">
        <v>2844</v>
      </c>
      <c r="J537">
        <v>0</v>
      </c>
      <c r="K537" t="s">
        <v>817</v>
      </c>
      <c r="L537" t="s">
        <v>525</v>
      </c>
      <c r="M537" t="b">
        <v>0</v>
      </c>
      <c r="N537" t="s">
        <v>3124</v>
      </c>
      <c r="O537" t="s">
        <v>3125</v>
      </c>
      <c r="Q537" t="s">
        <v>3126</v>
      </c>
      <c r="R537" t="s">
        <v>2848</v>
      </c>
      <c r="S537" t="s">
        <v>3323</v>
      </c>
      <c r="T537" s="2"/>
    </row>
    <row r="538" spans="1:20" hidden="1" x14ac:dyDescent="0.2">
      <c r="A538">
        <v>0.97</v>
      </c>
      <c r="B538" t="s">
        <v>2841</v>
      </c>
      <c r="C538" t="s">
        <v>2842</v>
      </c>
      <c r="D538" t="s">
        <v>3127</v>
      </c>
      <c r="E538" t="s">
        <v>103</v>
      </c>
      <c r="F538" t="s">
        <v>22</v>
      </c>
      <c r="G538" t="s">
        <v>2844</v>
      </c>
      <c r="J538">
        <v>0</v>
      </c>
      <c r="K538" t="s">
        <v>105</v>
      </c>
      <c r="L538" t="s">
        <v>3128</v>
      </c>
      <c r="M538" t="b">
        <v>0</v>
      </c>
      <c r="N538" t="s">
        <v>2095</v>
      </c>
      <c r="O538" t="s">
        <v>243</v>
      </c>
      <c r="P538" t="s">
        <v>28</v>
      </c>
      <c r="Q538" t="s">
        <v>3129</v>
      </c>
      <c r="R538" t="s">
        <v>2848</v>
      </c>
      <c r="S538" t="s">
        <v>3323</v>
      </c>
      <c r="T538" s="2"/>
    </row>
    <row r="539" spans="1:20" hidden="1" x14ac:dyDescent="0.2">
      <c r="A539">
        <v>0.97</v>
      </c>
      <c r="B539" t="s">
        <v>2841</v>
      </c>
      <c r="C539" t="s">
        <v>2842</v>
      </c>
      <c r="D539" t="s">
        <v>3130</v>
      </c>
      <c r="E539" t="s">
        <v>103</v>
      </c>
      <c r="F539" t="s">
        <v>22</v>
      </c>
      <c r="G539" t="s">
        <v>2844</v>
      </c>
      <c r="H539" s="1">
        <v>46097</v>
      </c>
      <c r="I539">
        <v>-151</v>
      </c>
      <c r="J539">
        <v>50000</v>
      </c>
      <c r="K539" t="s">
        <v>105</v>
      </c>
      <c r="L539" t="s">
        <v>3131</v>
      </c>
      <c r="M539" t="b">
        <v>0</v>
      </c>
      <c r="N539" t="s">
        <v>3132</v>
      </c>
      <c r="O539" t="s">
        <v>243</v>
      </c>
      <c r="P539" t="s">
        <v>28</v>
      </c>
      <c r="Q539" t="s">
        <v>3133</v>
      </c>
      <c r="R539" t="s">
        <v>2848</v>
      </c>
      <c r="S539" t="s">
        <v>3323</v>
      </c>
      <c r="T539" s="2"/>
    </row>
    <row r="540" spans="1:20" hidden="1" x14ac:dyDescent="0.2">
      <c r="A540">
        <v>0.96</v>
      </c>
      <c r="B540" t="s">
        <v>2841</v>
      </c>
      <c r="C540" t="s">
        <v>2842</v>
      </c>
      <c r="D540" t="s">
        <v>3134</v>
      </c>
      <c r="E540" t="s">
        <v>103</v>
      </c>
      <c r="F540" t="s">
        <v>22</v>
      </c>
      <c r="G540" t="s">
        <v>2844</v>
      </c>
      <c r="J540">
        <v>0</v>
      </c>
      <c r="K540" t="s">
        <v>1943</v>
      </c>
      <c r="L540" t="s">
        <v>3135</v>
      </c>
      <c r="M540" t="b">
        <v>0</v>
      </c>
      <c r="N540" t="s">
        <v>3136</v>
      </c>
      <c r="O540" t="s">
        <v>243</v>
      </c>
      <c r="P540" t="s">
        <v>3137</v>
      </c>
      <c r="Q540" t="s">
        <v>3138</v>
      </c>
      <c r="R540" t="s">
        <v>2848</v>
      </c>
      <c r="S540" t="s">
        <v>3323</v>
      </c>
      <c r="T540" s="2"/>
    </row>
    <row r="541" spans="1:20" hidden="1" x14ac:dyDescent="0.2">
      <c r="A541">
        <v>0.95</v>
      </c>
      <c r="B541" t="s">
        <v>2841</v>
      </c>
      <c r="C541" t="s">
        <v>2842</v>
      </c>
      <c r="D541" t="s">
        <v>3139</v>
      </c>
      <c r="E541" t="s">
        <v>574</v>
      </c>
      <c r="F541" t="s">
        <v>33</v>
      </c>
      <c r="G541" t="s">
        <v>2844</v>
      </c>
      <c r="H541" s="1">
        <v>46326</v>
      </c>
      <c r="I541">
        <v>78</v>
      </c>
      <c r="J541">
        <v>109000</v>
      </c>
      <c r="K541" t="s">
        <v>3087</v>
      </c>
      <c r="L541" t="s">
        <v>3140</v>
      </c>
      <c r="M541" t="b">
        <v>0</v>
      </c>
      <c r="N541" t="s">
        <v>3141</v>
      </c>
      <c r="O541" t="s">
        <v>3142</v>
      </c>
      <c r="P541" t="s">
        <v>38</v>
      </c>
      <c r="Q541" t="s">
        <v>3092</v>
      </c>
      <c r="R541" t="s">
        <v>2848</v>
      </c>
      <c r="S541" t="s">
        <v>3323</v>
      </c>
      <c r="T541" s="2"/>
    </row>
    <row r="542" spans="1:20" hidden="1" x14ac:dyDescent="0.2">
      <c r="A542">
        <v>0.92</v>
      </c>
      <c r="B542" t="s">
        <v>2841</v>
      </c>
      <c r="C542" t="s">
        <v>2842</v>
      </c>
      <c r="D542" t="s">
        <v>3143</v>
      </c>
      <c r="E542" t="s">
        <v>722</v>
      </c>
      <c r="F542" t="s">
        <v>42</v>
      </c>
      <c r="G542" t="s">
        <v>2844</v>
      </c>
      <c r="J542">
        <v>0</v>
      </c>
      <c r="K542" t="s">
        <v>135</v>
      </c>
      <c r="L542" t="s">
        <v>3144</v>
      </c>
      <c r="M542" t="b">
        <v>0</v>
      </c>
      <c r="N542" t="s">
        <v>3145</v>
      </c>
      <c r="O542" t="s">
        <v>3146</v>
      </c>
      <c r="P542" t="s">
        <v>3147</v>
      </c>
      <c r="Q542" t="s">
        <v>3148</v>
      </c>
      <c r="R542" t="s">
        <v>2848</v>
      </c>
      <c r="S542" t="s">
        <v>3323</v>
      </c>
      <c r="T542" s="2"/>
    </row>
    <row r="543" spans="1:20" hidden="1" x14ac:dyDescent="0.2">
      <c r="A543">
        <v>0.9</v>
      </c>
      <c r="B543" t="s">
        <v>2841</v>
      </c>
      <c r="C543" t="s">
        <v>2842</v>
      </c>
      <c r="D543" t="s">
        <v>3149</v>
      </c>
      <c r="E543" t="s">
        <v>103</v>
      </c>
      <c r="F543" t="s">
        <v>22</v>
      </c>
      <c r="G543" t="s">
        <v>2844</v>
      </c>
      <c r="J543">
        <v>0</v>
      </c>
      <c r="K543" t="s">
        <v>3150</v>
      </c>
      <c r="L543" t="s">
        <v>3151</v>
      </c>
      <c r="M543" t="b">
        <v>0</v>
      </c>
      <c r="N543" t="s">
        <v>2095</v>
      </c>
      <c r="O543" t="s">
        <v>3152</v>
      </c>
      <c r="P543" t="s">
        <v>28</v>
      </c>
      <c r="Q543" t="s">
        <v>3153</v>
      </c>
      <c r="R543" t="s">
        <v>2848</v>
      </c>
      <c r="S543" t="s">
        <v>3323</v>
      </c>
      <c r="T543" s="2"/>
    </row>
    <row r="544" spans="1:20" hidden="1" x14ac:dyDescent="0.2">
      <c r="A544">
        <v>0.9</v>
      </c>
      <c r="B544" t="s">
        <v>2841</v>
      </c>
      <c r="C544" t="s">
        <v>2842</v>
      </c>
      <c r="D544" t="s">
        <v>3154</v>
      </c>
      <c r="E544" t="s">
        <v>1030</v>
      </c>
      <c r="F544" t="s">
        <v>33</v>
      </c>
      <c r="G544" t="s">
        <v>2844</v>
      </c>
      <c r="J544">
        <v>0</v>
      </c>
      <c r="K544" t="s">
        <v>3155</v>
      </c>
      <c r="L544" t="s">
        <v>3156</v>
      </c>
      <c r="M544" t="b">
        <v>0</v>
      </c>
      <c r="N544" t="s">
        <v>2381</v>
      </c>
      <c r="O544" t="s">
        <v>3157</v>
      </c>
      <c r="P544" t="s">
        <v>28</v>
      </c>
      <c r="Q544" t="s">
        <v>3158</v>
      </c>
      <c r="R544" t="s">
        <v>2848</v>
      </c>
      <c r="S544" t="s">
        <v>3323</v>
      </c>
      <c r="T544" s="2"/>
    </row>
    <row r="545" spans="1:20" hidden="1" x14ac:dyDescent="0.2">
      <c r="A545">
        <v>0.85</v>
      </c>
      <c r="B545" t="s">
        <v>2841</v>
      </c>
      <c r="C545" t="s">
        <v>2842</v>
      </c>
      <c r="D545" t="s">
        <v>3159</v>
      </c>
      <c r="E545" t="s">
        <v>1030</v>
      </c>
      <c r="F545" t="s">
        <v>42</v>
      </c>
      <c r="G545" t="s">
        <v>2844</v>
      </c>
      <c r="J545">
        <v>0</v>
      </c>
      <c r="K545" t="s">
        <v>44</v>
      </c>
      <c r="L545" t="s">
        <v>1032</v>
      </c>
      <c r="M545" t="b">
        <v>0</v>
      </c>
      <c r="N545" t="s">
        <v>28</v>
      </c>
      <c r="O545" t="s">
        <v>3160</v>
      </c>
      <c r="P545" t="s">
        <v>28</v>
      </c>
      <c r="Q545" t="s">
        <v>3161</v>
      </c>
      <c r="R545" t="s">
        <v>2848</v>
      </c>
      <c r="S545" t="s">
        <v>3323</v>
      </c>
      <c r="T545" s="2"/>
    </row>
    <row r="546" spans="1:20" hidden="1" x14ac:dyDescent="0.2">
      <c r="A546">
        <v>0.84</v>
      </c>
      <c r="B546" t="s">
        <v>2841</v>
      </c>
      <c r="C546" t="s">
        <v>2842</v>
      </c>
      <c r="D546" t="s">
        <v>3162</v>
      </c>
      <c r="E546" t="s">
        <v>730</v>
      </c>
      <c r="F546" t="s">
        <v>427</v>
      </c>
      <c r="G546" t="s">
        <v>2844</v>
      </c>
      <c r="J546">
        <v>0</v>
      </c>
      <c r="K546" t="s">
        <v>291</v>
      </c>
      <c r="L546" t="s">
        <v>59</v>
      </c>
      <c r="M546" t="b">
        <v>0</v>
      </c>
      <c r="N546" t="s">
        <v>3163</v>
      </c>
      <c r="O546" t="s">
        <v>243</v>
      </c>
      <c r="P546" t="s">
        <v>3164</v>
      </c>
      <c r="Q546" t="s">
        <v>3165</v>
      </c>
      <c r="R546" t="s">
        <v>2848</v>
      </c>
      <c r="S546" t="s">
        <v>3323</v>
      </c>
      <c r="T546" s="2"/>
    </row>
    <row r="547" spans="1:20" hidden="1" x14ac:dyDescent="0.2">
      <c r="A547">
        <v>0.81</v>
      </c>
      <c r="B547" t="s">
        <v>2841</v>
      </c>
      <c r="C547" t="s">
        <v>2842</v>
      </c>
      <c r="D547" t="s">
        <v>3166</v>
      </c>
      <c r="E547" t="s">
        <v>2320</v>
      </c>
      <c r="F547" t="s">
        <v>22</v>
      </c>
      <c r="G547" t="s">
        <v>2844</v>
      </c>
      <c r="J547">
        <v>0</v>
      </c>
      <c r="K547" t="s">
        <v>3167</v>
      </c>
      <c r="L547" t="s">
        <v>3168</v>
      </c>
      <c r="M547" t="b">
        <v>0</v>
      </c>
      <c r="N547" t="s">
        <v>3169</v>
      </c>
      <c r="O547" t="s">
        <v>3170</v>
      </c>
      <c r="P547" t="s">
        <v>3171</v>
      </c>
      <c r="Q547" t="s">
        <v>3172</v>
      </c>
      <c r="R547" t="s">
        <v>2848</v>
      </c>
      <c r="S547" t="s">
        <v>3323</v>
      </c>
      <c r="T547" s="2"/>
    </row>
    <row r="548" spans="1:20" hidden="1" x14ac:dyDescent="0.2">
      <c r="A548">
        <v>0.7</v>
      </c>
      <c r="B548" t="s">
        <v>2841</v>
      </c>
      <c r="C548" t="s">
        <v>2842</v>
      </c>
      <c r="D548" t="s">
        <v>3173</v>
      </c>
      <c r="E548" t="s">
        <v>3174</v>
      </c>
      <c r="F548" t="s">
        <v>73</v>
      </c>
      <c r="G548" t="s">
        <v>2844</v>
      </c>
      <c r="J548">
        <v>0</v>
      </c>
      <c r="K548" t="s">
        <v>3175</v>
      </c>
      <c r="L548" t="s">
        <v>3176</v>
      </c>
      <c r="M548" t="b">
        <v>0</v>
      </c>
      <c r="N548" t="s">
        <v>2930</v>
      </c>
      <c r="O548" t="s">
        <v>3177</v>
      </c>
      <c r="P548" t="s">
        <v>38</v>
      </c>
      <c r="Q548" t="s">
        <v>2876</v>
      </c>
      <c r="R548" t="s">
        <v>2848</v>
      </c>
      <c r="S548" t="s">
        <v>3323</v>
      </c>
      <c r="T548" s="2"/>
    </row>
    <row r="549" spans="1:20" hidden="1" x14ac:dyDescent="0.2">
      <c r="A549">
        <v>0.68</v>
      </c>
      <c r="B549" t="s">
        <v>2841</v>
      </c>
      <c r="C549" t="s">
        <v>2842</v>
      </c>
      <c r="D549" t="s">
        <v>3178</v>
      </c>
      <c r="E549" t="s">
        <v>3179</v>
      </c>
      <c r="F549" t="s">
        <v>427</v>
      </c>
      <c r="G549" t="s">
        <v>2844</v>
      </c>
      <c r="J549">
        <v>0</v>
      </c>
      <c r="K549" t="s">
        <v>3180</v>
      </c>
      <c r="L549" t="s">
        <v>3181</v>
      </c>
      <c r="M549" t="b">
        <v>0</v>
      </c>
      <c r="N549" t="s">
        <v>3182</v>
      </c>
      <c r="O549" t="s">
        <v>3183</v>
      </c>
      <c r="P549" t="s">
        <v>3184</v>
      </c>
      <c r="Q549" t="s">
        <v>3185</v>
      </c>
      <c r="R549" t="s">
        <v>2848</v>
      </c>
      <c r="S549" t="s">
        <v>3323</v>
      </c>
      <c r="T549" s="2"/>
    </row>
    <row r="550" spans="1:20" hidden="1" x14ac:dyDescent="0.2">
      <c r="A550">
        <v>0.62</v>
      </c>
      <c r="B550" t="s">
        <v>2841</v>
      </c>
      <c r="C550" t="s">
        <v>2842</v>
      </c>
      <c r="D550" t="s">
        <v>3186</v>
      </c>
      <c r="E550" t="s">
        <v>2980</v>
      </c>
      <c r="F550" t="s">
        <v>33</v>
      </c>
      <c r="G550" t="s">
        <v>2844</v>
      </c>
      <c r="J550">
        <v>109000</v>
      </c>
      <c r="K550" t="s">
        <v>3187</v>
      </c>
      <c r="L550" t="s">
        <v>3188</v>
      </c>
      <c r="M550" t="b">
        <v>1</v>
      </c>
      <c r="N550" t="s">
        <v>3189</v>
      </c>
      <c r="O550" t="s">
        <v>3190</v>
      </c>
      <c r="P550" t="s">
        <v>3191</v>
      </c>
      <c r="Q550" t="s">
        <v>3192</v>
      </c>
      <c r="R550" t="s">
        <v>2848</v>
      </c>
      <c r="S550" t="s">
        <v>3323</v>
      </c>
      <c r="T550" s="2"/>
    </row>
    <row r="551" spans="1:20" hidden="1" x14ac:dyDescent="0.2">
      <c r="A551">
        <v>0.62</v>
      </c>
      <c r="B551" t="s">
        <v>2841</v>
      </c>
      <c r="C551" t="s">
        <v>2842</v>
      </c>
      <c r="D551" t="s">
        <v>3193</v>
      </c>
      <c r="E551" t="s">
        <v>2927</v>
      </c>
      <c r="F551" t="s">
        <v>33</v>
      </c>
      <c r="G551" t="s">
        <v>2844</v>
      </c>
      <c r="J551">
        <v>1000000</v>
      </c>
      <c r="K551" t="s">
        <v>3194</v>
      </c>
      <c r="L551" t="s">
        <v>3195</v>
      </c>
      <c r="M551" t="b">
        <v>1</v>
      </c>
      <c r="N551" t="s">
        <v>3075</v>
      </c>
      <c r="O551" t="s">
        <v>3196</v>
      </c>
      <c r="P551" t="s">
        <v>3197</v>
      </c>
      <c r="Q551" t="s">
        <v>3198</v>
      </c>
      <c r="R551" t="s">
        <v>2848</v>
      </c>
      <c r="S551" t="s">
        <v>3323</v>
      </c>
      <c r="T551" s="2"/>
    </row>
    <row r="552" spans="1:20" hidden="1" x14ac:dyDescent="0.2">
      <c r="A552">
        <v>0.55000000000000004</v>
      </c>
      <c r="B552" t="s">
        <v>2841</v>
      </c>
      <c r="C552" t="s">
        <v>2842</v>
      </c>
      <c r="D552" t="s">
        <v>3199</v>
      </c>
      <c r="E552" t="s">
        <v>103</v>
      </c>
      <c r="F552" t="s">
        <v>22</v>
      </c>
      <c r="G552" t="s">
        <v>2844</v>
      </c>
      <c r="J552">
        <v>0</v>
      </c>
      <c r="K552" t="s">
        <v>105</v>
      </c>
      <c r="L552" t="s">
        <v>3200</v>
      </c>
      <c r="M552" t="b">
        <v>0</v>
      </c>
      <c r="N552" t="s">
        <v>2095</v>
      </c>
      <c r="O552" t="s">
        <v>243</v>
      </c>
      <c r="P552" t="s">
        <v>28</v>
      </c>
      <c r="Q552" t="s">
        <v>3201</v>
      </c>
      <c r="R552" t="s">
        <v>2848</v>
      </c>
      <c r="S552" t="s">
        <v>3323</v>
      </c>
      <c r="T552" s="2"/>
    </row>
    <row r="553" spans="1:20" hidden="1" x14ac:dyDescent="0.2">
      <c r="A553">
        <v>0.47</v>
      </c>
      <c r="B553" t="s">
        <v>2841</v>
      </c>
      <c r="C553" t="s">
        <v>2842</v>
      </c>
      <c r="D553" t="s">
        <v>3202</v>
      </c>
      <c r="E553" t="s">
        <v>3203</v>
      </c>
      <c r="F553" t="s">
        <v>42</v>
      </c>
      <c r="G553" t="s">
        <v>2844</v>
      </c>
      <c r="H553" s="1">
        <v>46182</v>
      </c>
      <c r="I553">
        <v>-66</v>
      </c>
      <c r="J553">
        <v>16350</v>
      </c>
      <c r="K553" t="s">
        <v>2204</v>
      </c>
      <c r="L553" t="s">
        <v>3204</v>
      </c>
      <c r="M553" t="b">
        <v>0</v>
      </c>
      <c r="N553" t="s">
        <v>3205</v>
      </c>
      <c r="O553" t="s">
        <v>3206</v>
      </c>
      <c r="P553" t="s">
        <v>38</v>
      </c>
      <c r="Q553" t="s">
        <v>3207</v>
      </c>
      <c r="R553" t="s">
        <v>2848</v>
      </c>
      <c r="S553" t="s">
        <v>3323</v>
      </c>
      <c r="T553" s="2"/>
    </row>
    <row r="554" spans="1:20" hidden="1" x14ac:dyDescent="0.2">
      <c r="A554">
        <v>0.4</v>
      </c>
      <c r="B554" t="s">
        <v>2841</v>
      </c>
      <c r="C554" t="s">
        <v>2842</v>
      </c>
      <c r="D554" t="s">
        <v>3208</v>
      </c>
      <c r="E554" t="s">
        <v>3209</v>
      </c>
      <c r="F554" t="s">
        <v>22</v>
      </c>
      <c r="G554" t="s">
        <v>2844</v>
      </c>
      <c r="J554" s="62">
        <v>10</v>
      </c>
      <c r="K554" t="s">
        <v>105</v>
      </c>
      <c r="L554" t="s">
        <v>3210</v>
      </c>
      <c r="M554" t="b">
        <v>1</v>
      </c>
      <c r="N554" t="s">
        <v>3211</v>
      </c>
      <c r="O554" t="s">
        <v>3212</v>
      </c>
      <c r="P554" t="s">
        <v>3213</v>
      </c>
      <c r="Q554" t="s">
        <v>3214</v>
      </c>
      <c r="R554" t="s">
        <v>2848</v>
      </c>
      <c r="S554" t="s">
        <v>3323</v>
      </c>
      <c r="T554" s="2"/>
    </row>
    <row r="555" spans="1:20" hidden="1" x14ac:dyDescent="0.2">
      <c r="A555">
        <v>0.3</v>
      </c>
      <c r="B555" t="s">
        <v>2841</v>
      </c>
      <c r="C555" t="s">
        <v>2842</v>
      </c>
      <c r="D555" t="s">
        <v>3215</v>
      </c>
      <c r="E555" t="s">
        <v>3216</v>
      </c>
      <c r="F555" t="s">
        <v>120</v>
      </c>
      <c r="G555" t="s">
        <v>2844</v>
      </c>
      <c r="J555">
        <v>0</v>
      </c>
      <c r="K555" t="s">
        <v>3217</v>
      </c>
      <c r="L555" t="s">
        <v>3218</v>
      </c>
      <c r="M555" t="b">
        <v>0</v>
      </c>
      <c r="N555" t="s">
        <v>210</v>
      </c>
      <c r="O555" t="s">
        <v>3219</v>
      </c>
      <c r="P555" t="s">
        <v>3220</v>
      </c>
      <c r="Q555" t="s">
        <v>3221</v>
      </c>
      <c r="R555" t="s">
        <v>2848</v>
      </c>
      <c r="S555" t="s">
        <v>3323</v>
      </c>
      <c r="T555" s="2"/>
    </row>
    <row r="556" spans="1:20" hidden="1" x14ac:dyDescent="0.2">
      <c r="A556">
        <v>0.3</v>
      </c>
      <c r="B556" t="s">
        <v>2841</v>
      </c>
      <c r="C556" t="s">
        <v>2842</v>
      </c>
      <c r="D556" t="s">
        <v>3222</v>
      </c>
      <c r="E556" t="s">
        <v>3223</v>
      </c>
      <c r="F556" t="s">
        <v>33</v>
      </c>
      <c r="G556" t="s">
        <v>2844</v>
      </c>
      <c r="J556">
        <v>0</v>
      </c>
      <c r="K556" t="s">
        <v>1198</v>
      </c>
      <c r="L556" t="s">
        <v>1198</v>
      </c>
      <c r="M556" t="b">
        <v>0</v>
      </c>
      <c r="N556" t="s">
        <v>805</v>
      </c>
      <c r="O556" t="s">
        <v>3224</v>
      </c>
      <c r="P556" t="s">
        <v>38</v>
      </c>
      <c r="Q556" t="s">
        <v>1704</v>
      </c>
      <c r="R556" t="s">
        <v>2848</v>
      </c>
      <c r="S556" t="s">
        <v>3323</v>
      </c>
      <c r="T556" s="2"/>
    </row>
    <row r="557" spans="1:20" hidden="1" x14ac:dyDescent="0.2">
      <c r="A557">
        <v>0.27</v>
      </c>
      <c r="B557" t="s">
        <v>2841</v>
      </c>
      <c r="C557" t="s">
        <v>2842</v>
      </c>
      <c r="D557" t="s">
        <v>3225</v>
      </c>
      <c r="E557" t="s">
        <v>3226</v>
      </c>
      <c r="F557" t="s">
        <v>33</v>
      </c>
      <c r="G557" t="s">
        <v>2844</v>
      </c>
      <c r="H557" s="1">
        <v>46230</v>
      </c>
      <c r="I557">
        <v>-18</v>
      </c>
      <c r="J557">
        <v>0</v>
      </c>
      <c r="K557" t="s">
        <v>3227</v>
      </c>
      <c r="L557" t="s">
        <v>3228</v>
      </c>
      <c r="M557" t="b">
        <v>1</v>
      </c>
      <c r="N557" t="s">
        <v>3229</v>
      </c>
      <c r="O557" t="s">
        <v>3230</v>
      </c>
      <c r="P557" t="s">
        <v>3231</v>
      </c>
      <c r="Q557" t="s">
        <v>3232</v>
      </c>
      <c r="R557" t="s">
        <v>2848</v>
      </c>
      <c r="S557" t="s">
        <v>3323</v>
      </c>
      <c r="T557" s="2"/>
    </row>
    <row r="558" spans="1:20" hidden="1" x14ac:dyDescent="0.2">
      <c r="A558">
        <v>0.22</v>
      </c>
      <c r="B558" t="s">
        <v>2841</v>
      </c>
      <c r="C558" t="s">
        <v>2842</v>
      </c>
      <c r="D558" t="s">
        <v>3233</v>
      </c>
      <c r="E558" t="s">
        <v>3234</v>
      </c>
      <c r="F558" t="s">
        <v>427</v>
      </c>
      <c r="G558" t="s">
        <v>2844</v>
      </c>
      <c r="H558" s="1">
        <v>46399</v>
      </c>
      <c r="I558">
        <v>151</v>
      </c>
      <c r="J558">
        <v>46870</v>
      </c>
      <c r="K558" t="s">
        <v>1147</v>
      </c>
      <c r="L558" t="s">
        <v>3235</v>
      </c>
      <c r="M558" t="b">
        <v>1</v>
      </c>
      <c r="N558" t="s">
        <v>3236</v>
      </c>
      <c r="O558" t="s">
        <v>3237</v>
      </c>
      <c r="P558" t="s">
        <v>3238</v>
      </c>
      <c r="Q558" t="s">
        <v>3239</v>
      </c>
      <c r="R558" t="s">
        <v>2848</v>
      </c>
      <c r="S558" t="s">
        <v>3323</v>
      </c>
      <c r="T558" s="2"/>
    </row>
    <row r="559" spans="1:20" hidden="1" x14ac:dyDescent="0.2">
      <c r="A559">
        <v>0.19</v>
      </c>
      <c r="B559" t="s">
        <v>2841</v>
      </c>
      <c r="C559" t="s">
        <v>2842</v>
      </c>
      <c r="D559" t="s">
        <v>3240</v>
      </c>
      <c r="E559" t="s">
        <v>574</v>
      </c>
      <c r="F559" t="s">
        <v>33</v>
      </c>
      <c r="G559" t="s">
        <v>2844</v>
      </c>
      <c r="J559">
        <v>0</v>
      </c>
      <c r="K559" t="s">
        <v>3241</v>
      </c>
      <c r="L559" t="s">
        <v>525</v>
      </c>
      <c r="M559" t="b">
        <v>0</v>
      </c>
      <c r="N559" t="s">
        <v>3242</v>
      </c>
      <c r="O559" t="s">
        <v>3243</v>
      </c>
      <c r="P559" t="s">
        <v>38</v>
      </c>
      <c r="Q559" t="s">
        <v>3244</v>
      </c>
      <c r="R559" t="s">
        <v>2848</v>
      </c>
      <c r="S559" t="s">
        <v>3323</v>
      </c>
      <c r="T559" s="2"/>
    </row>
    <row r="560" spans="1:20" hidden="1" x14ac:dyDescent="0.2">
      <c r="A560">
        <v>0.14000000000000001</v>
      </c>
      <c r="B560" t="s">
        <v>2841</v>
      </c>
      <c r="C560" t="s">
        <v>2842</v>
      </c>
      <c r="D560" t="s">
        <v>3245</v>
      </c>
      <c r="E560" t="s">
        <v>3246</v>
      </c>
      <c r="F560" t="s">
        <v>42</v>
      </c>
      <c r="G560" t="s">
        <v>2844</v>
      </c>
      <c r="J560">
        <v>0</v>
      </c>
      <c r="K560" t="s">
        <v>3247</v>
      </c>
      <c r="L560" t="s">
        <v>3248</v>
      </c>
      <c r="M560" t="b">
        <v>0</v>
      </c>
      <c r="N560" t="s">
        <v>3249</v>
      </c>
      <c r="O560" t="s">
        <v>3246</v>
      </c>
      <c r="P560" t="s">
        <v>3250</v>
      </c>
      <c r="Q560" t="s">
        <v>3251</v>
      </c>
      <c r="R560" t="s">
        <v>2848</v>
      </c>
      <c r="S560" t="s">
        <v>3323</v>
      </c>
      <c r="T560" s="2"/>
    </row>
    <row r="561" spans="1:20" hidden="1" x14ac:dyDescent="0.2">
      <c r="A561">
        <v>0</v>
      </c>
      <c r="B561" t="s">
        <v>2841</v>
      </c>
      <c r="C561" t="s">
        <v>2842</v>
      </c>
      <c r="D561" t="s">
        <v>3252</v>
      </c>
      <c r="E561" t="s">
        <v>1586</v>
      </c>
      <c r="F561" t="s">
        <v>427</v>
      </c>
      <c r="G561" t="s">
        <v>2844</v>
      </c>
      <c r="J561">
        <v>0</v>
      </c>
      <c r="K561" t="s">
        <v>1147</v>
      </c>
      <c r="L561" t="s">
        <v>3253</v>
      </c>
      <c r="M561" t="b">
        <v>1</v>
      </c>
      <c r="N561" t="s">
        <v>3254</v>
      </c>
      <c r="O561" t="s">
        <v>3255</v>
      </c>
      <c r="P561" t="s">
        <v>3256</v>
      </c>
      <c r="Q561" t="s">
        <v>3257</v>
      </c>
      <c r="R561" t="s">
        <v>2848</v>
      </c>
      <c r="S561" t="s">
        <v>3323</v>
      </c>
      <c r="T561" s="2"/>
    </row>
    <row r="562" spans="1:20" hidden="1" x14ac:dyDescent="0.2">
      <c r="A562">
        <v>0</v>
      </c>
      <c r="B562" t="s">
        <v>2841</v>
      </c>
      <c r="C562" t="s">
        <v>2842</v>
      </c>
      <c r="D562" t="s">
        <v>3258</v>
      </c>
      <c r="E562" t="s">
        <v>3259</v>
      </c>
      <c r="F562" t="s">
        <v>33</v>
      </c>
      <c r="G562" t="s">
        <v>2844</v>
      </c>
      <c r="J562">
        <v>0</v>
      </c>
      <c r="K562" t="s">
        <v>1545</v>
      </c>
      <c r="L562" t="s">
        <v>1545</v>
      </c>
      <c r="M562" t="b">
        <v>0</v>
      </c>
      <c r="N562" t="s">
        <v>1545</v>
      </c>
      <c r="O562" t="s">
        <v>3260</v>
      </c>
      <c r="P562" t="s">
        <v>3261</v>
      </c>
      <c r="Q562" t="s">
        <v>3262</v>
      </c>
      <c r="R562" t="s">
        <v>2848</v>
      </c>
      <c r="S562" t="s">
        <v>3323</v>
      </c>
      <c r="T562" s="2"/>
    </row>
    <row r="563" spans="1:20" hidden="1" x14ac:dyDescent="0.2">
      <c r="A563">
        <v>0</v>
      </c>
      <c r="B563" t="s">
        <v>2841</v>
      </c>
      <c r="C563" t="s">
        <v>2842</v>
      </c>
      <c r="D563" t="s">
        <v>3263</v>
      </c>
      <c r="E563" t="s">
        <v>3264</v>
      </c>
      <c r="F563" t="s">
        <v>120</v>
      </c>
      <c r="G563" t="s">
        <v>2844</v>
      </c>
      <c r="J563">
        <v>0</v>
      </c>
      <c r="K563" t="s">
        <v>817</v>
      </c>
      <c r="L563" t="s">
        <v>2369</v>
      </c>
      <c r="M563" t="b">
        <v>0</v>
      </c>
      <c r="N563" t="s">
        <v>1545</v>
      </c>
      <c r="O563" t="s">
        <v>3265</v>
      </c>
      <c r="P563" t="s">
        <v>3266</v>
      </c>
      <c r="Q563" t="s">
        <v>3267</v>
      </c>
      <c r="R563" t="s">
        <v>2848</v>
      </c>
      <c r="S563" t="s">
        <v>3323</v>
      </c>
      <c r="T563" s="2"/>
    </row>
    <row r="564" spans="1:20" hidden="1" x14ac:dyDescent="0.2">
      <c r="A564">
        <v>0</v>
      </c>
      <c r="B564" t="s">
        <v>2841</v>
      </c>
      <c r="C564" t="s">
        <v>2842</v>
      </c>
      <c r="D564" t="s">
        <v>3268</v>
      </c>
      <c r="E564" t="s">
        <v>3269</v>
      </c>
      <c r="F564" t="s">
        <v>810</v>
      </c>
      <c r="G564" t="s">
        <v>2844</v>
      </c>
      <c r="J564">
        <v>0</v>
      </c>
      <c r="K564" t="s">
        <v>3270</v>
      </c>
      <c r="L564" t="s">
        <v>3271</v>
      </c>
      <c r="M564" t="b">
        <v>1</v>
      </c>
      <c r="N564" t="s">
        <v>1545</v>
      </c>
      <c r="O564" t="s">
        <v>3272</v>
      </c>
      <c r="P564" t="s">
        <v>3273</v>
      </c>
      <c r="Q564" t="s">
        <v>3274</v>
      </c>
      <c r="R564" t="s">
        <v>2848</v>
      </c>
      <c r="S564" t="s">
        <v>3323</v>
      </c>
      <c r="T564" s="2"/>
    </row>
    <row r="565" spans="1:20" hidden="1" x14ac:dyDescent="0.2">
      <c r="A565">
        <v>0</v>
      </c>
      <c r="B565" t="s">
        <v>2841</v>
      </c>
      <c r="C565" t="s">
        <v>2842</v>
      </c>
      <c r="D565" t="s">
        <v>3275</v>
      </c>
      <c r="E565" t="s">
        <v>80</v>
      </c>
      <c r="F565" t="s">
        <v>120</v>
      </c>
      <c r="G565" t="s">
        <v>2844</v>
      </c>
      <c r="J565">
        <v>0</v>
      </c>
      <c r="K565" t="s">
        <v>3276</v>
      </c>
      <c r="L565" t="s">
        <v>3277</v>
      </c>
      <c r="M565" t="b">
        <v>0</v>
      </c>
      <c r="N565" t="s">
        <v>3278</v>
      </c>
      <c r="O565" t="s">
        <v>3279</v>
      </c>
      <c r="P565" t="s">
        <v>3280</v>
      </c>
      <c r="Q565" t="s">
        <v>3281</v>
      </c>
      <c r="R565" t="s">
        <v>2848</v>
      </c>
      <c r="S565" t="s">
        <v>3323</v>
      </c>
      <c r="T565" s="2"/>
    </row>
    <row r="566" spans="1:20" hidden="1" x14ac:dyDescent="0.2">
      <c r="A566">
        <v>0</v>
      </c>
      <c r="B566" t="s">
        <v>2841</v>
      </c>
      <c r="C566" t="s">
        <v>2842</v>
      </c>
      <c r="D566" t="s">
        <v>3282</v>
      </c>
      <c r="E566" t="s">
        <v>2002</v>
      </c>
      <c r="F566" t="s">
        <v>427</v>
      </c>
      <c r="G566" t="s">
        <v>2844</v>
      </c>
      <c r="J566">
        <v>0</v>
      </c>
      <c r="K566" t="s">
        <v>291</v>
      </c>
      <c r="L566" t="s">
        <v>2095</v>
      </c>
      <c r="M566" t="b">
        <v>0</v>
      </c>
      <c r="N566" t="s">
        <v>3283</v>
      </c>
      <c r="O566" t="s">
        <v>3284</v>
      </c>
      <c r="P566" t="s">
        <v>3285</v>
      </c>
      <c r="Q566" t="s">
        <v>3286</v>
      </c>
      <c r="R566" t="s">
        <v>2848</v>
      </c>
      <c r="S566" t="s">
        <v>3323</v>
      </c>
      <c r="T566" s="2"/>
    </row>
    <row r="567" spans="1:20" hidden="1" x14ac:dyDescent="0.2">
      <c r="A567">
        <v>0</v>
      </c>
      <c r="B567" t="s">
        <v>2841</v>
      </c>
      <c r="C567" t="s">
        <v>2842</v>
      </c>
      <c r="D567" t="s">
        <v>3287</v>
      </c>
      <c r="E567" t="s">
        <v>103</v>
      </c>
      <c r="F567" t="s">
        <v>290</v>
      </c>
      <c r="G567" t="s">
        <v>2844</v>
      </c>
      <c r="J567">
        <v>0</v>
      </c>
      <c r="K567" t="s">
        <v>2095</v>
      </c>
      <c r="L567" t="s">
        <v>2095</v>
      </c>
      <c r="M567" t="b">
        <v>0</v>
      </c>
      <c r="N567" t="s">
        <v>3288</v>
      </c>
      <c r="O567" t="s">
        <v>243</v>
      </c>
      <c r="P567" t="s">
        <v>3289</v>
      </c>
      <c r="Q567" t="s">
        <v>3290</v>
      </c>
      <c r="R567" t="s">
        <v>2848</v>
      </c>
      <c r="S567" t="s">
        <v>3323</v>
      </c>
      <c r="T567" s="2"/>
    </row>
    <row r="568" spans="1:20" hidden="1" x14ac:dyDescent="0.2">
      <c r="A568">
        <v>0</v>
      </c>
      <c r="B568" t="s">
        <v>2841</v>
      </c>
      <c r="C568" t="s">
        <v>2842</v>
      </c>
      <c r="D568" t="s">
        <v>3291</v>
      </c>
      <c r="E568" t="s">
        <v>2009</v>
      </c>
      <c r="F568" t="s">
        <v>22</v>
      </c>
      <c r="G568" t="s">
        <v>2844</v>
      </c>
      <c r="H568" s="1">
        <v>46079</v>
      </c>
      <c r="I568">
        <v>-169</v>
      </c>
      <c r="J568">
        <v>2026</v>
      </c>
      <c r="K568" t="s">
        <v>3292</v>
      </c>
      <c r="L568" t="s">
        <v>3293</v>
      </c>
      <c r="M568" t="b">
        <v>1</v>
      </c>
      <c r="N568" t="s">
        <v>3294</v>
      </c>
      <c r="O568" t="s">
        <v>3295</v>
      </c>
      <c r="P568" t="s">
        <v>3296</v>
      </c>
      <c r="Q568" t="s">
        <v>3297</v>
      </c>
      <c r="R568" t="s">
        <v>2848</v>
      </c>
      <c r="S568" t="s">
        <v>3323</v>
      </c>
      <c r="T568" s="2"/>
    </row>
    <row r="569" spans="1:20" hidden="1" x14ac:dyDescent="0.2">
      <c r="A569">
        <v>0</v>
      </c>
      <c r="B569" t="s">
        <v>2841</v>
      </c>
      <c r="C569" t="s">
        <v>2842</v>
      </c>
      <c r="D569" t="s">
        <v>3298</v>
      </c>
      <c r="E569" t="s">
        <v>2794</v>
      </c>
      <c r="F569" t="s">
        <v>427</v>
      </c>
      <c r="G569" t="s">
        <v>2844</v>
      </c>
      <c r="H569" s="1">
        <v>46125</v>
      </c>
      <c r="I569">
        <v>-123</v>
      </c>
      <c r="J569">
        <v>0</v>
      </c>
      <c r="K569" t="s">
        <v>3299</v>
      </c>
      <c r="L569" t="s">
        <v>3300</v>
      </c>
      <c r="M569" t="b">
        <v>1</v>
      </c>
      <c r="N569" t="s">
        <v>2837</v>
      </c>
      <c r="O569" t="s">
        <v>3301</v>
      </c>
      <c r="P569" t="s">
        <v>3302</v>
      </c>
      <c r="Q569" t="s">
        <v>3303</v>
      </c>
      <c r="R569" t="s">
        <v>2848</v>
      </c>
      <c r="S569" t="s">
        <v>3323</v>
      </c>
      <c r="T569" s="2"/>
    </row>
    <row r="570" spans="1:20" hidden="1" x14ac:dyDescent="0.2">
      <c r="A570">
        <v>0</v>
      </c>
      <c r="B570" t="s">
        <v>2841</v>
      </c>
      <c r="C570" t="s">
        <v>2842</v>
      </c>
      <c r="D570" t="s">
        <v>3304</v>
      </c>
      <c r="E570" t="s">
        <v>3305</v>
      </c>
      <c r="F570" t="s">
        <v>42</v>
      </c>
      <c r="G570" t="s">
        <v>2844</v>
      </c>
      <c r="H570" s="1">
        <v>46182</v>
      </c>
      <c r="I570">
        <v>-66</v>
      </c>
      <c r="J570">
        <v>0</v>
      </c>
      <c r="K570" t="s">
        <v>3306</v>
      </c>
      <c r="L570" t="s">
        <v>3307</v>
      </c>
      <c r="M570" t="b">
        <v>0</v>
      </c>
      <c r="N570" t="s">
        <v>1364</v>
      </c>
      <c r="O570" t="s">
        <v>3308</v>
      </c>
      <c r="P570" t="s">
        <v>3309</v>
      </c>
      <c r="Q570" t="s">
        <v>3207</v>
      </c>
      <c r="R570" t="s">
        <v>2848</v>
      </c>
      <c r="S570" t="s">
        <v>3323</v>
      </c>
      <c r="T570" s="2"/>
    </row>
    <row r="571" spans="1:20" hidden="1" x14ac:dyDescent="0.2">
      <c r="A571">
        <v>0</v>
      </c>
      <c r="B571" t="s">
        <v>2841</v>
      </c>
      <c r="C571" t="s">
        <v>2842</v>
      </c>
      <c r="D571" t="s">
        <v>3310</v>
      </c>
      <c r="E571" t="s">
        <v>3311</v>
      </c>
      <c r="F571" t="s">
        <v>22</v>
      </c>
      <c r="G571" t="s">
        <v>2844</v>
      </c>
      <c r="H571" s="1">
        <v>46351</v>
      </c>
      <c r="I571">
        <v>103</v>
      </c>
      <c r="J571">
        <v>0</v>
      </c>
      <c r="K571" t="s">
        <v>3312</v>
      </c>
      <c r="L571" t="s">
        <v>2095</v>
      </c>
      <c r="M571" t="b">
        <v>1</v>
      </c>
      <c r="N571" t="s">
        <v>3313</v>
      </c>
      <c r="O571" t="s">
        <v>3314</v>
      </c>
      <c r="P571" t="s">
        <v>3315</v>
      </c>
      <c r="Q571" t="s">
        <v>3316</v>
      </c>
      <c r="R571" t="s">
        <v>2848</v>
      </c>
      <c r="S571" t="s">
        <v>3323</v>
      </c>
      <c r="T571" s="2"/>
    </row>
    <row r="572" spans="1:20" hidden="1" x14ac:dyDescent="0.2">
      <c r="A572">
        <v>0</v>
      </c>
      <c r="B572" t="s">
        <v>2841</v>
      </c>
      <c r="C572" t="s">
        <v>2842</v>
      </c>
      <c r="D572" t="s">
        <v>3317</v>
      </c>
      <c r="E572" t="s">
        <v>2628</v>
      </c>
      <c r="F572" t="s">
        <v>427</v>
      </c>
      <c r="G572" t="s">
        <v>2844</v>
      </c>
      <c r="J572">
        <v>0</v>
      </c>
      <c r="K572" t="s">
        <v>243</v>
      </c>
      <c r="L572" t="s">
        <v>59</v>
      </c>
      <c r="M572" t="b">
        <v>1</v>
      </c>
      <c r="N572" t="s">
        <v>28</v>
      </c>
      <c r="O572" t="s">
        <v>2628</v>
      </c>
      <c r="P572" t="s">
        <v>3318</v>
      </c>
      <c r="Q572" t="s">
        <v>3319</v>
      </c>
      <c r="R572" t="s">
        <v>2848</v>
      </c>
      <c r="S572" t="s">
        <v>3323</v>
      </c>
      <c r="T572" s="2"/>
    </row>
  </sheetData>
  <conditionalFormatting sqref="A2:U572">
    <cfRule type="expression" dxfId="14" priority="1">
      <formula>$B2="Closed"</formula>
    </cfRule>
  </conditionalFormatting>
  <conditionalFormatting sqref="B2:B572">
    <cfRule type="expression" dxfId="13" priority="2">
      <formula>$B2="Tier 1"</formula>
    </cfRule>
    <cfRule type="expression" dxfId="12" priority="3">
      <formula>$B2="Tier 2"</formula>
    </cfRule>
    <cfRule type="expression" dxfId="11" priority="4">
      <formula>$B2="Tier 3"</formula>
    </cfRule>
    <cfRule type="expression" dxfId="10" priority="5">
      <formula>$B2="Tier 4"</formula>
    </cfRule>
    <cfRule type="expression" dxfId="9" priority="6">
      <formula>$B2="Blocked"</formula>
    </cfRule>
  </conditionalFormatting>
  <conditionalFormatting sqref="I2:I572">
    <cfRule type="expression" dxfId="8" priority="7">
      <formula>AND(ISNUMBER($I2),$I2&lt;=7)</formula>
    </cfRule>
    <cfRule type="expression" dxfId="7" priority="8">
      <formula>AND(ISNUMBER($I2),$I2&gt;=8,$I2&lt;=21)</formula>
    </cfRule>
  </conditionalFormatting>
  <conditionalFormatting sqref="S2:S572">
    <cfRule type="expression" dxfId="6" priority="9">
      <formula>$S2="Not started"</formula>
    </cfRule>
    <cfRule type="expression" dxfId="5" priority="10">
      <formula>$S2="Drafting"</formula>
    </cfRule>
    <cfRule type="expression" dxfId="4" priority="11">
      <formula>$S2="Submitted"</formula>
    </cfRule>
    <cfRule type="expression" dxfId="3" priority="12">
      <formula>$S2="Interview"</formula>
    </cfRule>
    <cfRule type="expression" dxfId="2" priority="13">
      <formula>$S2="Accepted"</formula>
    </cfRule>
    <cfRule type="expression" dxfId="1" priority="14">
      <formula>$S2="Rejected"</formula>
    </cfRule>
    <cfRule type="expression" dxfId="0" priority="15">
      <formula>$S2="Skip"</formula>
    </cfRule>
  </conditionalFormatting>
  <dataValidations count="1">
    <dataValidation type="list" allowBlank="1" showInputMessage="1" showErrorMessage="1" errorTitle="Invalid status" error="Pick a value from the dropdown." sqref="S2:S572" xr:uid="{C71944B3-EE94-4946-9A40-465C193DD5FD}">
      <formula1>"Not started,Drafting,Submitted,Interview,Accepted,Rejected,Skip"</formula1>
    </dataValidation>
  </dataValidations>
  <hyperlinks>
    <hyperlink ref="Q5" r:id="rId1" xr:uid="{F9489260-34A4-1F45-BE8D-BD8CC09081D4}"/>
  </hyperlinks>
  <pageMargins left="0.7" right="0.7" top="0.75" bottom="0.75" header="0.3" footer="0.3"/>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This month</vt:lpstr>
      <vt:lpstr>all-programmes-ranked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Rohit Gajaraj</cp:lastModifiedBy>
  <dcterms:modified xsi:type="dcterms:W3CDTF">2026-08-14T18:15:44Z</dcterms:modified>
</cp:coreProperties>
</file>